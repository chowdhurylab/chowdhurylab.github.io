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feee7aeac042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b6c6734aa3a4ad3"/>
    <x:sheet xmlns:r="http://schemas.openxmlformats.org/officeDocument/2006/relationships" name="Methods" sheetId="2" r:id="R91b95f3845f342e0"/>
    <x:sheet xmlns:r="http://schemas.openxmlformats.org/officeDocument/2006/relationships" name="Family Ledger" sheetId="3" r:id="R6dc6f5246b6a40bb"/>
    <x:sheet xmlns:r="http://schemas.openxmlformats.org/officeDocument/2006/relationships" name="Coverage Matrix" sheetId="4" r:id="Re30ff716b8da415e"/>
    <x:sheet xmlns:r="http://schemas.openxmlformats.org/officeDocument/2006/relationships" name="Resource Roster" sheetId="5" r:id="R9b2102f1445e4229"/>
    <x:sheet xmlns:r="http://schemas.openxmlformats.org/officeDocument/2006/relationships" name="Verified Totals" sheetId="6" r:id="R3ae6dd0c5ba44e8a"/>
    <x:sheet xmlns:r="http://schemas.openxmlformats.org/officeDocument/2006/relationships" name="Rare Audit" sheetId="7" r:id="R39b2e7d8eb9d4c19"/>
    <x:sheet xmlns:r="http://schemas.openxmlformats.org/officeDocument/2006/relationships" name="Gap Audit A" sheetId="8" r:id="Rd0a0f88924a54b45"/>
    <x:sheet xmlns:r="http://schemas.openxmlformats.org/officeDocument/2006/relationships" name="Gap Audit B" sheetId="9" r:id="Rcd473cdae3ed44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#,##0"/>
  </x:numFmts>
  <x:fonts count="24">
    <x:font>
      <x:sz val="11"/>
      <x:name val="Avenir Next"/>
    </x:font>
    <x:font>
      <x:sz val="9"/>
      <x:color rgb="FF243746"/>
      <x:name val="Avenir Next"/>
    </x:font>
    <x:font>
      <x:b/>
      <x:sz val="9"/>
      <x:color rgb="FFFFFFFF"/>
      <x:name val="Avenir Next"/>
    </x:font>
    <x:font>
      <x:b/>
      <x:sz val="20"/>
      <x:color rgb="FFFFFFFF"/>
      <x:name val="Avenir Next"/>
    </x:font>
    <x:font>
      <x:i/>
      <x:sz val="10"/>
      <x:color rgb="FF506273"/>
      <x:name val="Avenir Next"/>
    </x:font>
    <x:font>
      <x:b/>
      <x:sz val="12"/>
      <x:color rgb="FF19324A"/>
      <x:name val="Avenir Next"/>
    </x:font>
    <x:font>
      <x:i/>
      <x:sz val="10"/>
      <x:color rgb="FF34495E"/>
      <x:name val="Avenir Next"/>
    </x:font>
    <x:font>
      <x:b/>
      <x:sz val="10"/>
      <x:color rgb="FF243746"/>
      <x:name val="Avenir Next"/>
    </x:font>
    <x:font>
      <x:sz val="10"/>
      <x:color rgb="FF243746"/>
      <x:name val="Avenir Next"/>
    </x:font>
    <x:font>
      <x:b/>
      <x:sz val="10"/>
      <x:color rgb="FF19324A"/>
      <x:name val="Avenir Next"/>
    </x:font>
    <x:font>
      <x:b/>
      <x:sz val="11"/>
      <x:color rgb="FF007C91"/>
      <x:name val="Avenir Next"/>
    </x:font>
    <x:font>
      <x:b/>
      <x:sz val="18"/>
      <x:color rgb="FFFFFFFF"/>
      <x:name val="Avenir Next"/>
    </x:font>
    <x:font>
      <x:b/>
      <x:sz val="20"/>
      <x:color rgb="FF243746"/>
      <x:name val="Avenir Next"/>
    </x:font>
    <x:font>
      <x:i/>
      <x:sz val="10"/>
      <x:color rgb="FF243746"/>
      <x:name val="Avenir Next"/>
    </x:font>
    <x:font>
      <x:sz val="11"/>
      <x:color rgb="FF243746"/>
      <x:name val="Avenir Next"/>
    </x:font>
    <x:font>
      <x:b/>
      <x:sz val="11"/>
      <x:color rgb="FF243746"/>
      <x:name val="Avenir Next"/>
    </x:font>
    <x:font>
      <x:i/>
      <x:sz val="10"/>
      <x:color rgb="FF5E6D78"/>
      <x:name val="Avenir Next"/>
    </x:font>
    <x:font>
      <x:b/>
      <x:sz val="10"/>
      <x:color rgb="FF007C91"/>
      <x:name val="Avenir Next"/>
    </x:font>
    <x:font>
      <x:b/>
      <x:sz val="18"/>
      <x:color rgb="FF243746"/>
      <x:name val="Avenir Next"/>
    </x:font>
    <x:font>
      <x:b/>
      <x:sz val="9"/>
      <x:color rgb="FF243746"/>
      <x:name val="Avenir Next"/>
    </x:font>
    <x:font>
      <x:sz val="9"/>
      <x:color rgb="FF35627A"/>
      <x:name val="Avenir Next"/>
    </x:font>
    <x:font>
      <x:sz val="9"/>
      <x:color rgb="FF5E6D78"/>
      <x:name val="Avenir Next"/>
    </x:font>
    <x:font>
      <x:sz val="10"/>
      <x:color rgb="FF245C8E"/>
      <x:u/>
      <x:name val="Avenir Next"/>
    </x:font>
    <x:font>
      <x:sz val="9"/>
      <x:color rgb="FF245C8E"/>
      <x:u/>
      <x:name val="Avenir Next"/>
    </x:font>
  </x:fonts>
  <x:fills count="10">
    <x:fill>
      <x:patternFill patternType="none"/>
    </x:fill>
    <x:fill>
      <x:patternFill patternType="gray125"/>
    </x:fill>
    <x:fill>
      <x:patternFill patternType="solid">
        <x:fgColor rgb="FF19324A"/>
      </x:patternFill>
    </x:fill>
    <x:fill>
      <x:patternFill patternType="solid">
        <x:fgColor rgb="FFD9EAF2"/>
      </x:patternFill>
    </x:fill>
    <x:fill>
      <x:patternFill patternType="solid">
        <x:fgColor rgb="FFF3F6F8"/>
      </x:patternFill>
    </x:fill>
    <x:fill>
      <x:patternFill patternType="solid">
        <x:fgColor rgb="FF19324A"/>
      </x:patternFill>
    </x:fill>
    <x:fill>
      <x:patternFill patternType="solid">
        <x:fgColor rgb="FFDCECF4"/>
      </x:patternFill>
    </x:fill>
    <x:fill>
      <x:patternFill patternType="solid">
        <x:fgColor rgb="FFFFFFFF"/>
      </x:patternFill>
    </x:fill>
    <x:fill>
      <x:patternFill patternType="solid">
        <x:fgColor rgb="FFEDF4F7"/>
      </x:patternFill>
    </x:fill>
    <x:fill>
      <x:patternFill patternType="solid">
        <x:fgColor rgb="FFF6F9FB"/>
      </x:patternFill>
    </x:fill>
  </x:fills>
  <x:borders count="10">
    <x:border/>
    <x:border>
      <x:left style="thin">
        <x:color rgb="FFDCE3E8"/>
      </x:left>
      <x:right style="thin">
        <x:color rgb="FFDCE3E8"/>
      </x:right>
      <x:top style="thin">
        <x:color rgb="FFDCE3E8"/>
      </x:top>
      <x:bottom style="thin">
        <x:color rgb="FFDCE3E8"/>
      </x:bottom>
    </x:border>
    <x:border>
      <x:bottom style="thin">
        <x:color rgb="FFD8E1E7"/>
      </x:bottom>
    </x:border>
    <x:border>
      <x:top style="thin">
        <x:color rgb="FFD8E1E7"/>
      </x:top>
      <x:bottom style="thin">
        <x:color rgb="FFD8E1E7"/>
      </x:bottom>
    </x:border>
    <x:border>
      <x:left style="thin">
        <x:color rgb="FFDCE3E8"/>
      </x:left>
      <x:right style="thin">
        <x:color rgb="FFDCE3E8"/>
      </x:right>
      <x:top style="thin">
        <x:color rgb="FFD8E1E7"/>
      </x:top>
      <x:bottom style="thin">
        <x:color rgb="FFD8E1E7"/>
      </x:bottom>
    </x:border>
    <x:border>
      <x:top style="thin">
        <x:color rgb="FFD8E1E7"/>
      </x:top>
    </x:border>
    <x:border>
      <x:left style="thin">
        <x:color rgb="FFDCE3E8"/>
      </x:left>
      <x:right style="thin">
        <x:color rgb="FFDCE3E8"/>
      </x:right>
      <x:top style="thin">
        <x:color rgb="FFD8E1E7"/>
      </x:top>
      <x:bottom style="medium">
        <x:color rgb="FFAFC9D8"/>
      </x:bottom>
    </x:border>
    <x:border>
      <x:left style="thin">
        <x:color rgb="FFDCE3E8"/>
      </x:left>
      <x:right style="thin">
        <x:color rgb="FFDCE3E8"/>
      </x:right>
      <x:top style="thin">
        <x:color rgb="FFDCE3E8"/>
      </x:top>
      <x:bottom style="thin">
        <x:color rgb="FFD8E1E7"/>
      </x:bottom>
    </x:border>
    <x:border>
      <x:left style="thin">
        <x:color rgb="FFDCE3E8"/>
      </x:left>
      <x:right style="thin">
        <x:color rgb="FFDCE3E8"/>
      </x:right>
      <x:top style="thin">
        <x:color rgb="FFD8E1E7"/>
      </x:top>
      <x:bottom style="thin">
        <x:color rgb="FFDCE3E8"/>
      </x:bottom>
    </x:border>
    <x:border>
      <x:left style="thin">
        <x:color rgb="FFDCE3E8"/>
      </x:left>
      <x:right style="thin">
        <x:color rgb="FFDCE3E8"/>
      </x:right>
      <x:top style="thin">
        <x:color rgb="FFDCE3E8"/>
      </x:top>
      <x:bottom style="medium">
        <x:color rgb="FF007C91"/>
      </x:bottom>
    </x:border>
  </x:borders>
  <x:cellStyleXfs count="1">
    <x:xf numFmtId="0" fontId="0" fillId="0" borderId="0"/>
  </x:cellStyleXfs>
  <x:cellXfs count="18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vertical="center" wrapText="1"/>
    </x:xf>
    <x:xf numFmtId="0" fontId="7" fillId="3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/>
    <x:xf numFmtId="200" fontId="8" fillId="0" borderId="0" xfId="0" applyNumberFormat="1" applyFont="1" applyFill="1" applyBorder="1"/>
    <x:xf numFmtId="0" fontId="8" fillId="3" borderId="0" xfId="0" applyNumberFormat="1" applyFont="1" applyFill="1" applyBorder="1"/>
    <x:xf numFmtId="0" fontId="9" fillId="3" borderId="0" xfId="0" applyNumberFormat="1" applyFont="1" applyFill="1" applyBorder="1"/>
    <x:xf numFmtId="0" fontId="10" fillId="0" borderId="0" xfId="0" applyNumberFormat="1" applyFont="1" applyFill="1" applyBorder="1"/>
    <x:xf numFmtId="200" fontId="10" fillId="0" borderId="0" xfId="0" applyNumberFormat="1" applyFont="1" applyFill="1" applyBorder="1"/>
    <x:xf numFmtId="0" fontId="7" fillId="3" borderId="1" xfId="0" applyNumberFormat="1" applyFont="1" applyFill="1" applyBorder="1" applyAlignment="1">
      <x:alignment vertical="center"/>
    </x:xf>
    <x:xf numFmtId="0" fontId="8" fillId="0" borderId="1" xfId="0" applyNumberFormat="1" applyFont="1" applyFill="1" applyBorder="1"/>
    <x:xf numFmtId="0" fontId="10" fillId="0" borderId="1" xfId="0" applyNumberFormat="1" applyFont="1" applyFill="1" applyBorder="1"/>
    <x:xf numFmtId="200" fontId="10" fillId="0" borderId="1" xfId="0" applyNumberFormat="1" applyFont="1" applyFill="1" applyBorder="1"/>
    <x:xf numFmtId="0" fontId="9" fillId="3" borderId="1" xfId="0" applyNumberFormat="1" applyFont="1" applyFill="1" applyBorder="1"/>
    <x:xf numFmtId="200" fontId="8" fillId="0" borderId="1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8" fillId="0" borderId="1" xfId="0" applyNumberFormat="1" applyFont="1" applyFill="1" applyBorder="1" applyAlignment="1">
      <x:alignment vertical="center"/>
    </x:xf>
    <x:xf numFmtId="0" fontId="10" fillId="0" borderId="1" xfId="0" applyNumberFormat="1" applyFont="1" applyFill="1" applyBorder="1" applyAlignment="1">
      <x:alignment vertical="center"/>
    </x:xf>
    <x:xf numFmtId="200" fontId="10" fillId="0" borderId="1" xfId="0" applyNumberFormat="1" applyFont="1" applyFill="1" applyBorder="1" applyAlignment="1">
      <x:alignment vertical="center"/>
    </x:xf>
    <x:xf numFmtId="0" fontId="9" fillId="3" borderId="1" xfId="0" applyNumberFormat="1" applyFont="1" applyFill="1" applyBorder="1" applyAlignment="1">
      <x:alignment vertical="center"/>
    </x:xf>
    <x:xf numFmtId="200" fontId="8" fillId="0" borderId="1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7" fillId="3" borderId="1" xfId="0" applyNumberFormat="1" applyFont="1" applyFill="1" applyBorder="1" applyAlignment="1">
      <x:alignment vertical="center" wrapText="1"/>
    </x:xf>
    <x:xf numFmtId="0" fontId="8" fillId="0" borderId="1" xfId="0" applyNumberFormat="1" applyFont="1" applyFill="1" applyBorder="1" applyAlignment="1">
      <x:alignment vertical="center" wrapText="1"/>
    </x:xf>
    <x:xf numFmtId="0" fontId="10" fillId="0" borderId="1" xfId="0" applyNumberFormat="1" applyFont="1" applyFill="1" applyBorder="1" applyAlignment="1">
      <x:alignment vertical="center" wrapText="1"/>
    </x:xf>
    <x:xf numFmtId="200" fontId="10" fillId="0" borderId="1" xfId="0" applyNumberFormat="1" applyFont="1" applyFill="1" applyBorder="1" applyAlignment="1">
      <x:alignment vertical="center" wrapText="1"/>
    </x:xf>
    <x:xf numFmtId="0" fontId="9" fillId="3" borderId="1" xfId="0" applyNumberFormat="1" applyFont="1" applyFill="1" applyBorder="1" applyAlignment="1">
      <x:alignment vertical="center" wrapText="1"/>
    </x:xf>
    <x:xf numFmtId="200" fontId="8" fillId="0" borderId="1" xfId="0" applyNumberFormat="1" applyFont="1" applyFill="1" applyBorder="1" applyAlignment="1">
      <x:alignment vertical="center" wrapText="1"/>
    </x:xf>
    <x:xf numFmtId="0" fontId="11" fillId="2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vertical="top" wrapText="1"/>
    </x:xf>
    <x:xf numFmtId="0" fontId="8" fillId="0" borderId="1" xfId="0" applyNumberFormat="1" applyFont="1" applyFill="1" applyBorder="1" applyAlignment="1">
      <x:alignment vertical="top" wrapText="1"/>
    </x:xf>
    <x:xf numFmtId="0" fontId="8" fillId="3" borderId="1" xfId="0" applyNumberFormat="1" applyFont="1" applyFill="1" applyBorder="1" applyAlignment="1">
      <x:alignment vertical="top" wrapText="1"/>
    </x:xf>
    <x:xf numFmtId="0" fontId="9" fillId="3" borderId="1" xfId="0" applyNumberFormat="1" applyFont="1" applyFill="1" applyBorder="1" applyAlignment="1">
      <x:alignment vertical="top" wrapText="1"/>
    </x:xf>
    <x:xf numFmtId="0" fontId="12" fillId="2" borderId="0" xfId="0" applyNumberFormat="1" applyFont="1" applyFill="1" applyBorder="1" applyAlignment="1">
      <x:alignment vertical="center" wrapText="1"/>
    </x:xf>
    <x:xf numFmtId="0" fontId="13" fillId="0" borderId="0" xfId="0" applyNumberFormat="1" applyFont="1" applyFill="1" applyBorder="1" applyAlignment="1">
      <x:alignment vertical="center" wrapText="1"/>
    </x:xf>
    <x:xf numFmtId="0" fontId="14" fillId="0" borderId="0" xfId="0" applyNumberFormat="1" applyFont="1" applyFill="1" applyBorder="1" applyAlignment="1">
      <x:alignment vertical="center" wrapText="1"/>
    </x:xf>
    <x:xf numFmtId="0" fontId="15" fillId="0" borderId="1" xfId="0" applyNumberFormat="1" applyFont="1" applyFill="1" applyBorder="1" applyAlignment="1">
      <x:alignment vertical="center" wrapText="1"/>
    </x:xf>
    <x:xf numFmtId="200" fontId="15" fillId="0" borderId="1" xfId="0" applyNumberFormat="1" applyFont="1" applyFill="1" applyBorder="1" applyAlignment="1">
      <x:alignment vertical="center" wrapText="1"/>
    </x:xf>
    <x:xf numFmtId="0" fontId="13" fillId="4" borderId="0" xfId="0" applyNumberFormat="1" applyFont="1" applyFill="1" applyBorder="1" applyAlignment="1">
      <x:alignment vertical="center" wrapText="1"/>
    </x:xf>
    <x:xf numFmtId="0" fontId="12" fillId="2" borderId="2" xfId="0" applyNumberFormat="1" applyFont="1" applyFill="1" applyBorder="1" applyAlignment="1">
      <x:alignment vertical="center" wrapText="1"/>
    </x:xf>
    <x:xf numFmtId="0" fontId="13" fillId="0" borderId="3" xfId="0" applyNumberFormat="1" applyFont="1" applyFill="1" applyBorder="1" applyAlignment="1">
      <x:alignment vertical="center" wrapText="1"/>
    </x:xf>
    <x:xf numFmtId="0" fontId="14" fillId="0" borderId="3" xfId="0" applyNumberFormat="1" applyFont="1" applyFill="1" applyBorder="1" applyAlignment="1">
      <x:alignment vertical="center" wrapText="1"/>
    </x:xf>
    <x:xf numFmtId="0" fontId="7" fillId="3" borderId="4" xfId="0" applyNumberFormat="1" applyFont="1" applyFill="1" applyBorder="1" applyAlignment="1">
      <x:alignment vertical="center" wrapText="1"/>
    </x:xf>
    <x:xf numFmtId="0" fontId="8" fillId="0" borderId="4" xfId="0" applyNumberFormat="1" applyFont="1" applyFill="1" applyBorder="1" applyAlignment="1">
      <x:alignment vertical="center" wrapText="1"/>
    </x:xf>
    <x:xf numFmtId="0" fontId="15" fillId="0" borderId="4" xfId="0" applyNumberFormat="1" applyFont="1" applyFill="1" applyBorder="1" applyAlignment="1">
      <x:alignment vertical="center" wrapText="1"/>
    </x:xf>
    <x:xf numFmtId="200" fontId="15" fillId="0" borderId="4" xfId="0" applyNumberFormat="1" applyFont="1" applyFill="1" applyBorder="1" applyAlignment="1">
      <x:alignment vertical="center" wrapText="1"/>
    </x:xf>
    <x:xf numFmtId="200" fontId="8" fillId="0" borderId="4" xfId="0" applyNumberFormat="1" applyFont="1" applyFill="1" applyBorder="1" applyAlignment="1">
      <x:alignment vertical="center" wrapText="1"/>
    </x:xf>
    <x:xf numFmtId="0" fontId="13" fillId="4" borderId="3" xfId="0" applyNumberFormat="1" applyFont="1" applyFill="1" applyBorder="1" applyAlignment="1">
      <x:alignment vertical="center" wrapText="1"/>
    </x:xf>
    <x:xf numFmtId="0" fontId="13" fillId="4" borderId="5" xfId="0" applyNumberFormat="1" applyFont="1" applyFill="1" applyBorder="1" applyAlignment="1">
      <x:alignment vertical="center" wrapText="1"/>
    </x:xf>
    <x:xf numFmtId="0" fontId="12" fillId="5" borderId="2" xfId="0" applyNumberFormat="1" applyFont="1" applyFill="1" applyBorder="1" applyAlignment="1">
      <x:alignment vertical="center" wrapText="1"/>
    </x:xf>
    <x:xf numFmtId="0" fontId="3" fillId="5" borderId="2" xfId="0" applyNumberFormat="1" applyFont="1" applyFill="1" applyBorder="1" applyAlignment="1">
      <x:alignment vertical="center" wrapText="1"/>
    </x:xf>
    <x:xf numFmtId="0" fontId="16" fillId="0" borderId="3" xfId="0" applyNumberFormat="1" applyFont="1" applyFill="1" applyBorder="1" applyAlignment="1">
      <x:alignment vertical="center" wrapText="1"/>
    </x:xf>
    <x:xf numFmtId="0" fontId="7" fillId="6" borderId="4" xfId="0" applyNumberFormat="1" applyFont="1" applyFill="1" applyBorder="1" applyAlignment="1">
      <x:alignment vertical="center" wrapText="1"/>
    </x:xf>
    <x:xf numFmtId="0" fontId="9" fillId="6" borderId="4" xfId="0" applyNumberFormat="1" applyFont="1" applyFill="1" applyBorder="1" applyAlignment="1">
      <x:alignment vertical="center" wrapText="1"/>
    </x:xf>
    <x:xf numFmtId="0" fontId="9" fillId="6" borderId="6" xfId="0" applyNumberFormat="1" applyFont="1" applyFill="1" applyBorder="1" applyAlignment="1">
      <x:alignment vertical="center" wrapText="1"/>
    </x:xf>
    <x:xf numFmtId="0" fontId="8" fillId="7" borderId="4" xfId="0" applyNumberFormat="1" applyFont="1" applyFill="1" applyBorder="1" applyAlignment="1">
      <x:alignment vertical="center" wrapText="1"/>
    </x:xf>
    <x:xf numFmtId="0" fontId="15" fillId="7" borderId="4" xfId="0" applyNumberFormat="1" applyFont="1" applyFill="1" applyBorder="1" applyAlignment="1">
      <x:alignment vertical="center" wrapText="1"/>
    </x:xf>
    <x:xf numFmtId="200" fontId="15" fillId="7" borderId="4" xfId="0" applyNumberFormat="1" applyFont="1" applyFill="1" applyBorder="1" applyAlignment="1">
      <x:alignment vertical="center" wrapText="1"/>
    </x:xf>
    <x:xf numFmtId="0" fontId="7" fillId="7" borderId="4" xfId="0" applyNumberFormat="1" applyFont="1" applyFill="1" applyBorder="1" applyAlignment="1">
      <x:alignment vertical="center" wrapText="1"/>
    </x:xf>
    <x:xf numFmtId="200" fontId="8" fillId="7" borderId="4" xfId="0" applyNumberFormat="1" applyFont="1" applyFill="1" applyBorder="1" applyAlignment="1">
      <x:alignment vertical="center" wrapText="1"/>
    </x:xf>
    <x:xf numFmtId="0" fontId="10" fillId="7" borderId="4" xfId="0" applyNumberFormat="1" applyFont="1" applyFill="1" applyBorder="1" applyAlignment="1">
      <x:alignment vertical="center" wrapText="1"/>
    </x:xf>
    <x:xf numFmtId="200" fontId="10" fillId="7" borderId="4" xfId="0" applyNumberFormat="1" applyFont="1" applyFill="1" applyBorder="1" applyAlignment="1">
      <x:alignment vertical="center" wrapText="1"/>
    </x:xf>
    <x:xf numFmtId="0" fontId="17" fillId="7" borderId="4" xfId="0" applyNumberFormat="1" applyFont="1" applyFill="1" applyBorder="1" applyAlignment="1">
      <x:alignment vertical="center" wrapText="1"/>
    </x:xf>
    <x:xf numFmtId="0" fontId="17" fillId="0" borderId="4" xfId="0" applyNumberFormat="1" applyFont="1" applyFill="1" applyBorder="1" applyAlignment="1">
      <x:alignment vertical="center" wrapText="1"/>
    </x:xf>
    <x:xf numFmtId="0" fontId="17" fillId="6" borderId="6" xfId="0" applyNumberFormat="1" applyFont="1" applyFill="1" applyBorder="1" applyAlignment="1">
      <x:alignment vertical="center" wrapText="1"/>
    </x:xf>
    <x:xf numFmtId="201" fontId="10" fillId="7" borderId="4" xfId="0" applyNumberFormat="1" applyFont="1" applyFill="1" applyBorder="1" applyAlignment="1">
      <x:alignment vertical="center" wrapText="1"/>
    </x:xf>
    <x:xf numFmtId="201" fontId="8" fillId="0" borderId="4" xfId="0" applyNumberFormat="1" applyFont="1" applyFill="1" applyBorder="1" applyAlignment="1">
      <x:alignment vertical="center" wrapText="1"/>
    </x:xf>
    <x:xf numFmtId="201" fontId="9" fillId="6" borderId="6" xfId="0" applyNumberFormat="1" applyFont="1" applyFill="1" applyBorder="1" applyAlignment="1">
      <x:alignment vertical="center" wrapText="1"/>
    </x:xf>
    <x:xf numFmtId="201" fontId="17" fillId="7" borderId="4" xfId="0" applyNumberFormat="1" applyFont="1" applyFill="1" applyBorder="1" applyAlignment="1">
      <x:alignment vertical="center" wrapText="1"/>
    </x:xf>
    <x:xf numFmtId="201" fontId="17" fillId="0" borderId="4" xfId="0" applyNumberFormat="1" applyFont="1" applyFill="1" applyBorder="1" applyAlignment="1">
      <x:alignment vertical="center" wrapText="1"/>
    </x:xf>
    <x:xf numFmtId="201" fontId="17" fillId="6" borderId="6" xfId="0" applyNumberFormat="1" applyFont="1" applyFill="1" applyBorder="1" applyAlignment="1">
      <x:alignment vertical="center" wrapText="1"/>
    </x:xf>
    <x:xf numFmtId="201" fontId="10" fillId="7" borderId="4" xfId="0" applyNumberFormat="1" applyFont="1" applyFill="1" applyBorder="1" applyAlignment="1">
      <x:alignment horizontal="right" vertical="center" wrapText="1"/>
    </x:xf>
    <x:xf numFmtId="201" fontId="8" fillId="0" borderId="4" xfId="0" applyNumberFormat="1" applyFont="1" applyFill="1" applyBorder="1" applyAlignment="1">
      <x:alignment horizontal="right" vertical="center" wrapText="1"/>
    </x:xf>
    <x:xf numFmtId="201" fontId="9" fillId="6" borderId="6" xfId="0" applyNumberFormat="1" applyFont="1" applyFill="1" applyBorder="1" applyAlignment="1">
      <x:alignment horizontal="right" vertical="center" wrapText="1"/>
    </x:xf>
    <x:xf numFmtId="201" fontId="17" fillId="7" borderId="4" xfId="0" applyNumberFormat="1" applyFont="1" applyFill="1" applyBorder="1" applyAlignment="1">
      <x:alignment horizontal="right" vertical="center" wrapText="1"/>
    </x:xf>
    <x:xf numFmtId="200" fontId="10" fillId="7" borderId="4" xfId="0" applyNumberFormat="1" applyFont="1" applyFill="1" applyBorder="1" applyAlignment="1">
      <x:alignment horizontal="right" vertical="center" wrapText="1"/>
    </x:xf>
    <x:xf numFmtId="201" fontId="17" fillId="0" borderId="4" xfId="0" applyNumberFormat="1" applyFont="1" applyFill="1" applyBorder="1" applyAlignment="1">
      <x:alignment horizontal="right" vertical="center" wrapText="1"/>
    </x:xf>
    <x:xf numFmtId="201" fontId="17" fillId="6" borderId="6" xfId="0" applyNumberFormat="1" applyFont="1" applyFill="1" applyBorder="1" applyAlignment="1">
      <x:alignment horizontal="right" vertical="center" wrapText="1"/>
    </x:xf>
    <x:xf numFmtId="0" fontId="8" fillId="7" borderId="4" xfId="0" applyNumberFormat="1" applyFont="1" applyFill="1" applyBorder="1" applyAlignment="1">
      <x:alignment horizontal="left" vertical="center" wrapText="1"/>
    </x:xf>
    <x:xf numFmtId="0" fontId="8" fillId="0" borderId="4" xfId="0" applyNumberFormat="1" applyFont="1" applyFill="1" applyBorder="1" applyAlignment="1">
      <x:alignment horizontal="left" vertical="center" wrapText="1"/>
    </x:xf>
    <x:xf numFmtId="0" fontId="9" fillId="6" borderId="6" xfId="0" applyNumberFormat="1" applyFont="1" applyFill="1" applyBorder="1" applyAlignment="1">
      <x:alignment horizontal="left" vertical="center" wrapText="1"/>
    </x:xf>
    <x:xf numFmtId="0" fontId="7" fillId="7" borderId="4" xfId="0" applyNumberFormat="1" applyFont="1" applyFill="1" applyBorder="1" applyAlignment="1">
      <x:alignment horizontal="left" vertical="center" wrapText="1"/>
    </x:xf>
    <x:xf numFmtId="0" fontId="7" fillId="8" borderId="4" xfId="0" applyNumberFormat="1" applyFont="1" applyFill="1" applyBorder="1" applyAlignment="1">
      <x:alignment vertical="center" wrapText="1"/>
    </x:xf>
    <x:xf numFmtId="201" fontId="17" fillId="8" borderId="4" xfId="0" applyNumberFormat="1" applyFont="1" applyFill="1" applyBorder="1" applyAlignment="1">
      <x:alignment horizontal="right" vertical="center" wrapText="1"/>
    </x:xf>
    <x:xf numFmtId="0" fontId="9" fillId="8" borderId="4" xfId="0" applyNumberFormat="1" applyFont="1" applyFill="1" applyBorder="1" applyAlignment="1">
      <x:alignment vertical="center" wrapText="1"/>
    </x:xf>
    <x:xf numFmtId="201" fontId="9" fillId="8" borderId="4" xfId="0" applyNumberFormat="1" applyFont="1" applyFill="1" applyBorder="1" applyAlignment="1">
      <x:alignment horizontal="right" vertical="center" wrapText="1"/>
    </x:xf>
    <x:xf numFmtId="201" fontId="9" fillId="8" borderId="4" xfId="0" applyNumberFormat="1" applyFont="1" applyFill="1" applyBorder="1" applyAlignment="1">
      <x:alignment horizontal="center" vertical="center" wrapText="1"/>
    </x:xf>
    <x:xf numFmtId="0" fontId="9" fillId="8" borderId="4" xfId="0" applyNumberFormat="1" applyFont="1" applyFill="1" applyBorder="1" applyAlignment="1">
      <x:alignment horizontal="center" vertical="center" wrapText="1"/>
    </x:xf>
    <x:xf numFmtId="0" fontId="7" fillId="8" borderId="4" xfId="0" applyNumberFormat="1" applyFont="1" applyFill="1" applyBorder="1" applyAlignment="1">
      <x:alignment horizontal="left" vertical="center" wrapText="1"/>
    </x:xf>
    <x:xf numFmtId="0" fontId="9" fillId="8" borderId="4" xfId="0" applyNumberFormat="1" applyFont="1" applyFill="1" applyBorder="1" applyAlignment="1">
      <x:alignment horizontal="left" vertical="center" wrapText="1"/>
    </x:xf>
    <x:xf numFmtId="201" fontId="9" fillId="8" borderId="4" xfId="0" applyNumberFormat="1" applyFont="1" applyFill="1" applyBorder="1" applyAlignment="1">
      <x:alignment horizontal="left" vertical="center" wrapText="1"/>
    </x:xf>
    <x:xf numFmtId="0" fontId="13" fillId="9" borderId="3" xfId="0" applyNumberFormat="1" applyFont="1" applyFill="1" applyBorder="1" applyAlignment="1">
      <x:alignment vertical="center" wrapText="1"/>
    </x:xf>
    <x:xf numFmtId="0" fontId="13" fillId="9" borderId="5" xfId="0" applyNumberFormat="1" applyFont="1" applyFill="1" applyBorder="1" applyAlignment="1">
      <x:alignment vertical="center" wrapText="1"/>
    </x:xf>
    <x:xf numFmtId="0" fontId="16" fillId="9" borderId="3" xfId="0" applyNumberFormat="1" applyFont="1" applyFill="1" applyBorder="1" applyAlignment="1">
      <x:alignment vertical="center" wrapText="1"/>
    </x:xf>
    <x:xf numFmtId="0" fontId="16" fillId="9" borderId="5" xfId="0" applyNumberFormat="1" applyFont="1" applyFill="1" applyBorder="1" applyAlignment="1">
      <x:alignment vertical="center" wrapText="1"/>
    </x:xf>
    <x:xf numFmtId="0" fontId="18" fillId="2" borderId="0" xfId="0" applyNumberFormat="1" applyFont="1" applyFill="1" applyBorder="1"/>
    <x:xf numFmtId="0" fontId="14" fillId="0" borderId="0" xfId="0" applyNumberFormat="1" applyFont="1" applyFill="1" applyBorder="1"/>
    <x:xf numFmtId="0" fontId="7" fillId="3" borderId="1" xfId="0" applyNumberFormat="1" applyFont="1" applyFill="1" applyBorder="1" applyAlignment="1">
      <x:alignment vertical="top" wrapText="1"/>
    </x:xf>
    <x:xf numFmtId="0" fontId="18" fillId="5" borderId="0" xfId="0" applyNumberFormat="1" applyFont="1" applyFill="1" applyBorder="1"/>
    <x:xf numFmtId="0" fontId="11" fillId="5" borderId="0" xfId="0" applyNumberFormat="1" applyFont="1" applyFill="1" applyBorder="1"/>
    <x:xf numFmtId="0" fontId="7" fillId="6" borderId="1" xfId="0" applyNumberFormat="1" applyFont="1" applyFill="1" applyBorder="1" applyAlignment="1">
      <x:alignment vertical="top" wrapText="1"/>
    </x:xf>
    <x:xf numFmtId="0" fontId="9" fillId="6" borderId="1" xfId="0" applyNumberFormat="1" applyFont="1" applyFill="1" applyBorder="1" applyAlignment="1">
      <x:alignment vertical="top" wrapText="1"/>
    </x:xf>
    <x:xf numFmtId="0" fontId="8" fillId="7" borderId="1" xfId="0" applyNumberFormat="1" applyFont="1" applyFill="1" applyBorder="1" applyAlignment="1">
      <x:alignment vertical="top" wrapText="1"/>
    </x:xf>
    <x:xf numFmtId="0" fontId="8" fillId="7" borderId="7" xfId="0" applyNumberFormat="1" applyFont="1" applyFill="1" applyBorder="1" applyAlignment="1">
      <x:alignment vertical="top" wrapText="1"/>
    </x:xf>
    <x:xf numFmtId="0" fontId="8" fillId="7" borderId="4" xfId="0" applyNumberFormat="1" applyFont="1" applyFill="1" applyBorder="1" applyAlignment="1">
      <x:alignment vertical="top" wrapText="1"/>
    </x:xf>
    <x:xf numFmtId="0" fontId="8" fillId="7" borderId="8" xfId="0" applyNumberFormat="1" applyFont="1" applyFill="1" applyBorder="1" applyAlignment="1">
      <x:alignment vertical="top" wrapText="1"/>
    </x:xf>
    <x:xf numFmtId="0" fontId="19" fillId="2" borderId="1" xfId="0" applyNumberFormat="1" applyFont="1" applyFill="1" applyBorder="1" applyAlignment="1">
      <x:alignment vertical="top" wrapText="1"/>
    </x:xf>
    <x:xf numFmtId="0" fontId="1" fillId="0" borderId="7" xfId="0" applyNumberFormat="1" applyFont="1" applyFill="1" applyBorder="1" applyAlignment="1">
      <x:alignment vertical="top" wrapText="1"/>
    </x:xf>
    <x:xf numFmtId="0" fontId="1" fillId="0" borderId="4" xfId="0" applyNumberFormat="1" applyFont="1" applyFill="1" applyBorder="1" applyAlignment="1">
      <x:alignment vertical="top" wrapText="1"/>
    </x:xf>
    <x:xf numFmtId="0" fontId="1" fillId="0" borderId="8" xfId="0" applyNumberFormat="1" applyFont="1" applyFill="1" applyBorder="1" applyAlignment="1">
      <x:alignment vertical="top" wrapText="1"/>
    </x:xf>
    <x:xf numFmtId="0" fontId="19" fillId="5" borderId="1" xfId="0" applyNumberFormat="1" applyFont="1" applyFill="1" applyBorder="1" applyAlignment="1">
      <x:alignment vertical="top" wrapText="1"/>
    </x:xf>
    <x:xf numFmtId="0" fontId="2" fillId="5" borderId="1" xfId="0" applyNumberFormat="1" applyFont="1" applyFill="1" applyBorder="1" applyAlignment="1">
      <x:alignment vertical="top" wrapText="1"/>
    </x:xf>
    <x:xf numFmtId="0" fontId="2" fillId="5" borderId="1" xfId="0" applyNumberFormat="1" applyFont="1" applyFill="1" applyBorder="1" applyAlignment="1">
      <x:alignment vertical="center" wrapText="1"/>
    </x:xf>
    <x:xf numFmtId="0" fontId="2" fillId="5" borderId="1" xfId="0" applyNumberFormat="1" applyFont="1" applyFill="1" applyBorder="1" applyAlignment="1">
      <x:alignment horizontal="left" vertical="center" wrapText="1"/>
    </x:xf>
    <x:xf numFmtId="0" fontId="2" fillId="5" borderId="9" xfId="0" applyNumberFormat="1" applyFont="1" applyFill="1" applyBorder="1" applyAlignment="1">
      <x:alignment horizontal="left" vertical="center" wrapText="1"/>
    </x:xf>
    <x:xf numFmtId="0" fontId="1" fillId="0" borderId="7" xfId="0" applyNumberFormat="1" applyFont="1" applyFill="1" applyBorder="1" applyAlignment="1">
      <x:alignment horizontal="center" vertical="top" wrapText="1"/>
    </x:xf>
    <x:xf numFmtId="0" fontId="1" fillId="0" borderId="4" xfId="0" applyNumberFormat="1" applyFont="1" applyFill="1" applyBorder="1" applyAlignment="1">
      <x:alignment horizontal="center" vertical="top" wrapText="1"/>
    </x:xf>
    <x:xf numFmtId="0" fontId="1" fillId="0" borderId="8" xfId="0" applyNumberFormat="1" applyFont="1" applyFill="1" applyBorder="1" applyAlignment="1">
      <x:alignment horizontal="center" vertical="top" wrapText="1"/>
    </x:xf>
    <x:xf numFmtId="0" fontId="20" fillId="0" borderId="7" xfId="0" applyNumberFormat="1" applyFont="1" applyFill="1" applyBorder="1" applyAlignment="1">
      <x:alignment vertical="top" wrapText="1"/>
    </x:xf>
    <x:xf numFmtId="0" fontId="20" fillId="0" borderId="4" xfId="0" applyNumberFormat="1" applyFont="1" applyFill="1" applyBorder="1" applyAlignment="1">
      <x:alignment vertical="top" wrapText="1"/>
    </x:xf>
    <x:xf numFmtId="0" fontId="20" fillId="0" borderId="8" xfId="0" applyNumberFormat="1" applyFont="1" applyFill="1" applyBorder="1" applyAlignment="1">
      <x:alignment vertical="top" wrapText="1"/>
    </x:xf>
    <x:xf numFmtId="0" fontId="21" fillId="0" borderId="7" xfId="0" applyNumberFormat="1" applyFont="1" applyFill="1" applyBorder="1" applyAlignment="1">
      <x:alignment vertical="top" wrapText="1"/>
    </x:xf>
    <x:xf numFmtId="0" fontId="21" fillId="0" borderId="4" xfId="0" applyNumberFormat="1" applyFont="1" applyFill="1" applyBorder="1" applyAlignment="1">
      <x:alignment vertical="top" wrapText="1"/>
    </x:xf>
    <x:xf numFmtId="0" fontId="21" fillId="0" borderId="8" xfId="0" applyNumberFormat="1" applyFont="1" applyFill="1" applyBorder="1" applyAlignment="1">
      <x:alignment vertical="top" wrapText="1"/>
    </x:xf>
    <x:xf numFmtId="0" fontId="21" fillId="7" borderId="7" xfId="0" applyNumberFormat="1" applyFont="1" applyFill="1" applyBorder="1" applyAlignment="1">
      <x:alignment vertical="top" wrapText="1"/>
    </x:xf>
    <x:xf numFmtId="0" fontId="1" fillId="7" borderId="7" xfId="0" applyNumberFormat="1" applyFont="1" applyFill="1" applyBorder="1" applyAlignment="1">
      <x:alignment vertical="top" wrapText="1"/>
    </x:xf>
    <x:xf numFmtId="0" fontId="1" fillId="7" borderId="7" xfId="0" applyNumberFormat="1" applyFont="1" applyFill="1" applyBorder="1" applyAlignment="1">
      <x:alignment horizontal="center" vertical="top" wrapText="1"/>
    </x:xf>
    <x:xf numFmtId="0" fontId="20" fillId="7" borderId="7" xfId="0" applyNumberFormat="1" applyFont="1" applyFill="1" applyBorder="1" applyAlignment="1">
      <x:alignment vertical="top" wrapText="1"/>
    </x:xf>
    <x:xf numFmtId="0" fontId="21" fillId="7" borderId="4" xfId="0" applyNumberFormat="1" applyFont="1" applyFill="1" applyBorder="1" applyAlignment="1">
      <x:alignment vertical="top" wrapText="1"/>
    </x:xf>
    <x:xf numFmtId="0" fontId="1" fillId="7" borderId="4" xfId="0" applyNumberFormat="1" applyFont="1" applyFill="1" applyBorder="1" applyAlignment="1">
      <x:alignment vertical="top" wrapText="1"/>
    </x:xf>
    <x:xf numFmtId="0" fontId="1" fillId="7" borderId="4" xfId="0" applyNumberFormat="1" applyFont="1" applyFill="1" applyBorder="1" applyAlignment="1">
      <x:alignment horizontal="center" vertical="top" wrapText="1"/>
    </x:xf>
    <x:xf numFmtId="0" fontId="20" fillId="7" borderId="4" xfId="0" applyNumberFormat="1" applyFont="1" applyFill="1" applyBorder="1" applyAlignment="1">
      <x:alignment vertical="top" wrapText="1"/>
    </x:xf>
    <x:xf numFmtId="0" fontId="21" fillId="7" borderId="8" xfId="0" applyNumberFormat="1" applyFont="1" applyFill="1" applyBorder="1" applyAlignment="1">
      <x:alignment vertical="top" wrapText="1"/>
    </x:xf>
    <x:xf numFmtId="0" fontId="1" fillId="7" borderId="8" xfId="0" applyNumberFormat="1" applyFont="1" applyFill="1" applyBorder="1" applyAlignment="1">
      <x:alignment vertical="top" wrapText="1"/>
    </x:xf>
    <x:xf numFmtId="0" fontId="1" fillId="7" borderId="8" xfId="0" applyNumberFormat="1" applyFont="1" applyFill="1" applyBorder="1" applyAlignment="1">
      <x:alignment horizontal="center" vertical="top" wrapText="1"/>
    </x:xf>
    <x:xf numFmtId="0" fontId="20" fillId="7" borderId="8" xfId="0" applyNumberFormat="1" applyFont="1" applyFill="1" applyBorder="1" applyAlignment="1">
      <x:alignment vertical="top" wrapText="1"/>
    </x:xf>
    <x:xf numFmtId="0" fontId="21" fillId="9" borderId="4" xfId="0" applyNumberFormat="1" applyFont="1" applyFill="1" applyBorder="1" applyAlignment="1">
      <x:alignment vertical="top" wrapText="1"/>
    </x:xf>
    <x:xf numFmtId="0" fontId="1" fillId="9" borderId="4" xfId="0" applyNumberFormat="1" applyFont="1" applyFill="1" applyBorder="1" applyAlignment="1">
      <x:alignment vertical="top" wrapText="1"/>
    </x:xf>
    <x:xf numFmtId="0" fontId="1" fillId="9" borderId="4" xfId="0" applyNumberFormat="1" applyFont="1" applyFill="1" applyBorder="1" applyAlignment="1">
      <x:alignment horizontal="center" vertical="top" wrapText="1"/>
    </x:xf>
    <x:xf numFmtId="0" fontId="20" fillId="9" borderId="4" xfId="0" applyNumberFormat="1" applyFont="1" applyFill="1" applyBorder="1" applyAlignment="1">
      <x:alignment vertical="top" wrapText="1"/>
    </x:xf>
    <x:xf numFmtId="0" fontId="1" fillId="0" borderId="7" xfId="0" applyNumberFormat="1" applyFont="1" applyFill="1" applyBorder="1" applyAlignment="1">
      <x:alignment horizontal="right" vertical="top" wrapText="1"/>
    </x:xf>
    <x:xf numFmtId="0" fontId="1" fillId="0" borderId="4" xfId="0" applyNumberFormat="1" applyFont="1" applyFill="1" applyBorder="1" applyAlignment="1">
      <x:alignment horizontal="right" vertical="top" wrapText="1"/>
    </x:xf>
    <x:xf numFmtId="0" fontId="1" fillId="0" borderId="8" xfId="0" applyNumberFormat="1" applyFont="1" applyFill="1" applyBorder="1" applyAlignment="1">
      <x:alignment horizontal="right" vertical="top" wrapText="1"/>
    </x:xf>
    <x:xf numFmtId="201" fontId="1" fillId="0" borderId="7" xfId="0" applyNumberFormat="1" applyFont="1" applyFill="1" applyBorder="1" applyAlignment="1">
      <x:alignment horizontal="right" vertical="top" wrapText="1"/>
    </x:xf>
    <x:xf numFmtId="201" fontId="1" fillId="0" borderId="4" xfId="0" applyNumberFormat="1" applyFont="1" applyFill="1" applyBorder="1" applyAlignment="1">
      <x:alignment horizontal="right" vertical="top" wrapText="1"/>
    </x:xf>
    <x:xf numFmtId="201" fontId="1" fillId="0" borderId="8" xfId="0" applyNumberFormat="1" applyFont="1" applyFill="1" applyBorder="1" applyAlignment="1">
      <x:alignment horizontal="right" vertical="top" wrapText="1"/>
    </x:xf>
    <x:xf numFmtId="201" fontId="1" fillId="7" borderId="7" xfId="0" applyNumberFormat="1" applyFont="1" applyFill="1" applyBorder="1" applyAlignment="1">
      <x:alignment horizontal="right" vertical="top" wrapText="1"/>
    </x:xf>
    <x:xf numFmtId="201" fontId="1" fillId="7" borderId="4" xfId="0" applyNumberFormat="1" applyFont="1" applyFill="1" applyBorder="1" applyAlignment="1">
      <x:alignment horizontal="right" vertical="top" wrapText="1"/>
    </x:xf>
    <x:xf numFmtId="201" fontId="1" fillId="7" borderId="8" xfId="0" applyNumberFormat="1" applyFont="1" applyFill="1" applyBorder="1" applyAlignment="1">
      <x:alignment horizontal="right" vertical="top" wrapText="1"/>
    </x:xf>
    <x:xf numFmtId="201" fontId="1" fillId="9" borderId="4" xfId="0" applyNumberFormat="1" applyFont="1" applyFill="1" applyBorder="1" applyAlignment="1">
      <x:alignment horizontal="right" vertical="top" wrapText="1"/>
    </x:xf>
    <x:xf numFmtId="0" fontId="1" fillId="9" borderId="8" xfId="0" applyNumberFormat="1" applyFont="1" applyFill="1" applyBorder="1" applyAlignment="1">
      <x:alignment vertical="top" wrapText="1"/>
    </x:xf>
    <x:xf numFmtId="0" fontId="1" fillId="9" borderId="8" xfId="0" applyNumberFormat="1" applyFont="1" applyFill="1" applyBorder="1" applyAlignment="1">
      <x:alignment horizontal="center" vertical="top" wrapText="1"/>
    </x:xf>
    <x:xf numFmtId="201" fontId="1" fillId="9" borderId="8" xfId="0" applyNumberFormat="1" applyFont="1" applyFill="1" applyBorder="1" applyAlignment="1">
      <x:alignment horizontal="right" vertical="top" wrapText="1"/>
    </x:xf>
    <x:xf numFmtId="0" fontId="20" fillId="9" borderId="8" xfId="0" applyNumberFormat="1" applyFont="1" applyFill="1" applyBorder="1" applyAlignment="1">
      <x:alignment vertical="top" wrapText="1"/>
    </x:xf>
    <x:xf numFmtId="0" fontId="21" fillId="0" borderId="7" xfId="0" applyNumberFormat="1" applyFont="1" applyFill="1" applyBorder="1" applyAlignment="1">
      <x:alignment horizontal="center" vertical="top" wrapText="1"/>
    </x:xf>
    <x:xf numFmtId="0" fontId="21" fillId="0" borderId="4" xfId="0" applyNumberFormat="1" applyFont="1" applyFill="1" applyBorder="1" applyAlignment="1">
      <x:alignment horizontal="center" vertical="top" wrapText="1"/>
    </x:xf>
    <x:xf numFmtId="0" fontId="21" fillId="0" borderId="8" xfId="0" applyNumberFormat="1" applyFont="1" applyFill="1" applyBorder="1" applyAlignment="1">
      <x:alignment horizontal="center" vertical="top" wrapText="1"/>
    </x:xf>
    <x:xf numFmtId="0" fontId="21" fillId="7" borderId="7" xfId="0" applyNumberFormat="1" applyFont="1" applyFill="1" applyBorder="1" applyAlignment="1">
      <x:alignment horizontal="center" vertical="top" wrapText="1"/>
    </x:xf>
    <x:xf numFmtId="0" fontId="21" fillId="7" borderId="4" xfId="0" applyNumberFormat="1" applyFont="1" applyFill="1" applyBorder="1" applyAlignment="1">
      <x:alignment horizontal="center" vertical="top" wrapText="1"/>
    </x:xf>
    <x:xf numFmtId="0" fontId="21" fillId="7" borderId="8" xfId="0" applyNumberFormat="1" applyFont="1" applyFill="1" applyBorder="1" applyAlignment="1">
      <x:alignment horizontal="center" vertical="top" wrapText="1"/>
    </x:xf>
    <x:xf numFmtId="0" fontId="21" fillId="9" borderId="4" xfId="0" applyNumberFormat="1" applyFont="1" applyFill="1" applyBorder="1" applyAlignment="1">
      <x:alignment horizontal="center" vertical="top" wrapText="1"/>
    </x:xf>
    <x:xf numFmtId="0" fontId="22" fillId="7" borderId="4" xfId="0" applyNumberFormat="1" applyFont="1" applyFill="1" applyBorder="1" applyAlignment="1">
      <x:alignment horizontal="left" vertical="center" wrapText="1"/>
    </x:xf>
    <x:xf numFmtId="0" fontId="23" fillId="7" borderId="7" xfId="0" applyNumberFormat="1" applyFont="1" applyFill="1" applyBorder="1" applyAlignment="1">
      <x:alignment vertical="top" wrapText="1"/>
    </x:xf>
    <x:xf numFmtId="0" fontId="23" fillId="9" borderId="4" xfId="0" applyNumberFormat="1" applyFont="1" applyFill="1" applyBorder="1" applyAlignment="1">
      <x:alignment vertical="top" wrapText="1"/>
    </x:xf>
    <x:xf numFmtId="0" fontId="23" fillId="7" borderId="4" xfId="0" applyNumberFormat="1" applyFont="1" applyFill="1" applyBorder="1" applyAlignment="1">
      <x:alignment vertical="top" wrapText="1"/>
    </x:xf>
    <x:xf numFmtId="0" fontId="23" fillId="7" borderId="8" xfId="0" applyNumberFormat="1" applyFont="1" applyFill="1" applyBorder="1" applyAlignment="1">
      <x:alignment vertical="top" wrapText="1"/>
    </x:xf>
    <x:xf numFmtId="0" fontId="23" fillId="9" borderId="8" xfId="0" applyNumberFormat="1" applyFont="1" applyFill="1" applyBorder="1" applyAlignment="1">
      <x:alignment vertical="top" wrapText="1"/>
    </x:xf>
  </x:cellXfs>
  <x:cellStyles count="1">
    <x:cellStyle name="Normal" xfId="0"/>
  </x:cellStyles>
  <x:dxfs count="125">
    <x:dxf>
      <x:font>
        <x:b/>
        <x:color rgb="FF236344"/>
      </x:font>
      <x:fill>
        <x:patternFill>
          <x:bgColor rgb="FFE7F3EC"/>
        </x:patternFill>
      </x:fill>
    </x:dxf>
    <x:dxf>
      <x:font>
        <x:b/>
        <x:color rgb="FF805B16"/>
      </x:font>
      <x:fill>
        <x:patternFill>
          <x:bgColor rgb="FFFFF4D6"/>
        </x:patternFill>
      </x:fill>
    </x:dxf>
    <x:dxf>
      <x:font>
        <x:b/>
        <x:color rgb="FF9A2F2A"/>
      </x:font>
      <x:fill>
        <x:patternFill>
          <x:bgColor rgb="FFFCE8E6"/>
        </x:patternFill>
      </x:fill>
    </x:dxf>
    <x:dxf>
      <x:font>
        <x:b/>
        <x:color rgb="FF52606A"/>
      </x:font>
      <x:fill>
        <x:patternFill>
          <x:bgColor rgb="FFEEF1F3"/>
        </x:patternFill>
      </x:fill>
    </x:dxf>
    <x:dxf>
      <x:font>
        <x:b/>
        <x:color rgb="FF36566F"/>
      </x:font>
      <x:fill>
        <x:patternFill>
          <x:bgColor rgb="FFEAF0F5"/>
        </x:patternFill>
      </x:fill>
    </x:dxf>
    <x:dxf>
      <x:font>
        <x:b/>
        <x:color rgb="FF2B5F93"/>
      </x:font>
      <x:fill>
        <x:patternFill>
          <x:bgColor rgb="FFE8F0FA"/>
        </x:patternFill>
      </x:fill>
    </x:dxf>
    <x:dxf>
      <x:font>
        <x:b/>
        <x:color rgb="FF236344"/>
      </x:font>
      <x:fill>
        <x:patternFill>
          <x:bgColor rgb="FFE7F3EC"/>
        </x:patternFill>
      </x:fill>
    </x:dxf>
    <x:dxf>
      <x:font>
        <x:b/>
        <x:color rgb="FF805B16"/>
      </x:font>
      <x:fill>
        <x:patternFill>
          <x:bgColor rgb="FFFFF4D6"/>
        </x:patternFill>
      </x:fill>
    </x:dxf>
    <x:dxf>
      <x:font>
        <x:b/>
        <x:color rgb="FF9A2F2A"/>
      </x:font>
      <x:fill>
        <x:patternFill>
          <x:bgColor rgb="FFFCE8E6"/>
        </x:patternFill>
      </x:fill>
    </x:dxf>
    <x:dxf>
      <x:font>
        <x:b/>
        <x:color rgb="FF52606A"/>
      </x:font>
      <x:fill>
        <x:patternFill>
          <x:bgColor rgb="FFEEF1F3"/>
        </x:patternFill>
      </x:fill>
    </x:dxf>
    <x:dxf>
      <x:font>
        <x:b/>
        <x:color rgb="FF36566F"/>
      </x:font>
      <x:fill>
        <x:patternFill>
          <x:bgColor rgb="FFEAF0F5"/>
        </x:patternFill>
      </x:fill>
    </x:dxf>
    <x:dxf>
      <x:font>
        <x:b/>
        <x:color rgb="FF2B5F93"/>
      </x:font>
      <x:fill>
        <x:patternFill>
          <x:bgColor rgb="FFE8F0FA"/>
        </x:patternFill>
      </x:fill>
    </x:dxf>
    <x:dxf>
      <x:font>
        <x:b/>
        <x:color rgb="FF236344"/>
      </x:font>
      <x:fill>
        <x:patternFill>
          <x:bgColor rgb="FFE7F3EC"/>
        </x:patternFill>
      </x:fill>
    </x:dxf>
    <x:dxf>
      <x:font>
        <x:b/>
        <x:color rgb="FF805B16"/>
      </x:font>
      <x:fill>
        <x:patternFill>
          <x:bgColor rgb="FFFFF4D6"/>
        </x:patternFill>
      </x:fill>
    </x:dxf>
    <x:dxf>
      <x:font>
        <x:b/>
        <x:color rgb="FF9A2F2A"/>
      </x:font>
      <x:fill>
        <x:patternFill>
          <x:bgColor rgb="FFFCE8E6"/>
        </x:patternFill>
      </x:fill>
    </x:dxf>
    <x:dxf>
      <x:font>
        <x:b/>
        <x:color rgb="FF52606A"/>
      </x:font>
      <x:fill>
        <x:patternFill>
          <x:bgColor rgb="FFEEF1F3"/>
        </x:patternFill>
      </x:fill>
    </x:dxf>
    <x:dxf>
      <x:font>
        <x:b/>
        <x:color rgb="FF36566F"/>
      </x:font>
      <x:fill>
        <x:patternFill>
          <x:bgColor rgb="FFEAF0F5"/>
        </x:patternFill>
      </x:fill>
    </x:dxf>
    <x:dxf>
      <x:font>
        <x:b/>
        <x:color rgb="FF2B5F93"/>
      </x:font>
      <x:fill>
        <x:patternFill>
          <x:bgColor rgb="FFE8F0FA"/>
        </x:patternFill>
      </x:fill>
    </x:dxf>
    <x:dxf>
      <x:font>
        <x:b/>
        <x:color rgb="FF236344"/>
      </x:font>
      <x:fill>
        <x:patternFill>
          <x:bgColor rgb="FFE7F3EC"/>
        </x:patternFill>
      </x:fill>
    </x:dxf>
    <x:dxf>
      <x:font>
        <x:b/>
        <x:color rgb="FF2B5F93"/>
      </x:font>
      <x:fill>
        <x:patternFill>
          <x:bgColor rgb="FFE8F0FA"/>
        </x:patternFill>
      </x:fill>
    </x:dxf>
    <x:dxf>
      <x:font>
        <x:b/>
        <x:color rgb="FF805B16"/>
      </x:font>
      <x:fill>
        <x:patternFill>
          <x:bgColor rgb="FFFFF4D6"/>
        </x:patternFill>
      </x:fill>
    </x:dxf>
    <x:dxf>
      <x:font>
        <x:b/>
        <x:color rgb="FF805B16"/>
      </x:font>
      <x:fill>
        <x:patternFill>
          <x:bgColor rgb="FFFFF4D6"/>
        </x:patternFill>
      </x:fill>
    </x:dxf>
    <x:dxf>
      <x:font>
        <x:b/>
        <x:color rgb="FF9A2F2A"/>
      </x:font>
      <x:fill>
        <x:patternFill>
          <x:bgColor rgb="FFFCE8E6"/>
        </x:patternFill>
      </x:fill>
    </x:dxf>
    <x:dxf>
      <x:font>
        <x:b/>
        <x:color rgb="FF236344"/>
      </x:font>
      <x:fill>
        <x:patternFill>
          <x:bgColor rgb="FFE7F3EC"/>
        </x:patternFill>
      </x:fill>
    </x:dxf>
    <x:dxf>
      <x:font>
        <x:b/>
        <x:color rgb="FF805B16"/>
      </x:font>
      <x:fill>
        <x:patternFill>
          <x:bgColor rgb="FFFFF4D6"/>
        </x:patternFill>
      </x:fill>
    </x:dxf>
    <x:dxf>
      <x:font>
        <x:b/>
        <x:color rgb="FF9A2F2A"/>
      </x:font>
      <x:fill>
        <x:patternFill>
          <x:bgColor rgb="FFFCE8E6"/>
        </x:patternFill>
      </x:fill>
    </x:dxf>
    <x:dxf>
      <x:font>
        <x:b/>
        <x:color rgb="FF52606A"/>
      </x:font>
      <x:fill>
        <x:patternFill>
          <x:bgColor rgb="FFEEF1F3"/>
        </x:patternFill>
      </x:fill>
    </x:dxf>
    <x:dxf>
      <x:font>
        <x:b/>
        <x:color rgb="FF36566F"/>
      </x:font>
      <x:fill>
        <x:patternFill>
          <x:bgColor rgb="FFEAF0F5"/>
        </x:patternFill>
      </x:fill>
    </x:dxf>
    <x:dxf>
      <x:font>
        <x:b/>
        <x:color rgb="FF2B5F93"/>
      </x:font>
      <x:fill>
        <x:patternFill>
          <x:bgColor rgb="FFE8F0FA"/>
        </x:patternFill>
      </x:fill>
    </x:dxf>
    <x:dxf>
      <x:font>
        <x:b/>
        <x:color rgb="FF236344"/>
      </x:font>
      <x:fill>
        <x:patternFill>
          <x:bgColor rgb="FFE7F3EC"/>
        </x:patternFill>
      </x:fill>
    </x:dxf>
    <x:dxf>
      <x:font>
        <x:b/>
        <x:color rgb="FF805B16"/>
      </x:font>
      <x:fill>
        <x:patternFill>
          <x:bgColor rgb="FFFFF4D6"/>
        </x:patternFill>
      </x:fill>
    </x:dxf>
    <x:dxf>
      <x:font>
        <x:b/>
        <x:color rgb="FF9A2F2A"/>
      </x:font>
      <x:fill>
        <x:patternFill>
          <x:bgColor rgb="FFFCE8E6"/>
        </x:patternFill>
      </x:fill>
    </x:dxf>
    <x:dxf>
      <x:font>
        <x:b/>
        <x:color rgb="FF52606A"/>
      </x:font>
      <x:fill>
        <x:patternFill>
          <x:bgColor rgb="FFEEF1F3"/>
        </x:patternFill>
      </x:fill>
    </x:dxf>
    <x:dxf>
      <x:font>
        <x:b/>
        <x:color rgb="FF36566F"/>
      </x:font>
      <x:fill>
        <x:patternFill>
          <x:bgColor rgb="FFEAF0F5"/>
        </x:patternFill>
      </x:fill>
    </x:dxf>
    <x:dxf>
      <x:font>
        <x:b/>
        <x:color rgb="FF2B5F93"/>
      </x:font>
      <x:fill>
        <x:patternFill>
          <x:bgColor rgb="FFE8F0FA"/>
        </x:patternFill>
      </x:fill>
    </x:dxf>
    <x:dxf>
      <x:font>
        <x:b/>
        <x:color rgb="FF236344"/>
      </x:font>
      <x:fill>
        <x:patternFill patternType="solid">
          <x:bgColor rgb="FFE7F3EC"/>
        </x:patternFill>
      </x:fill>
    </x:dxf>
    <x:dxf>
      <x:font>
        <x:b/>
        <x:color rgb="FF805B16"/>
      </x:font>
      <x:fill>
        <x:patternFill patternType="solid">
          <x:bgColor rgb="FFFFF4D6"/>
        </x:patternFill>
      </x:fill>
    </x:dxf>
    <x:dxf>
      <x:font>
        <x:b/>
        <x:color rgb="FF9A2F2A"/>
      </x:font>
      <x:fill>
        <x:patternFill patternType="solid">
          <x:bgColor rgb="FFFCE8E6"/>
        </x:patternFill>
      </x:fill>
    </x:dxf>
    <x:dxf>
      <x:font>
        <x:b/>
        <x:color rgb="FF9A2F2A"/>
      </x:font>
      <x:fill>
        <x:patternFill patternType="solid">
          <x:bgColor rgb="FFFCE8E6"/>
        </x:patternFill>
      </x:fill>
    </x:dxf>
    <x:dxf>
      <x:font>
        <x:b/>
        <x:color rgb="FF9A2F2A"/>
      </x:font>
      <x:fill>
        <x:patternFill patternType="solid">
          <x:bgColor rgb="FFFCE8E6"/>
        </x:patternFill>
      </x:fill>
    </x:dxf>
    <x:dxf>
      <x:font>
        <x:b/>
        <x:color rgb="FF9A2F2A"/>
      </x:font>
      <x:fill>
        <x:patternFill patternType="solid">
          <x:bgColor rgb="FFFCE8E6"/>
        </x:patternFill>
      </x:fill>
    </x:dxf>
    <x:dxf>
      <x:font>
        <x:b/>
        <x:color rgb="FF52606A"/>
      </x:font>
      <x:fill>
        <x:patternFill patternType="solid">
          <x:bgColor rgb="FFEEF1F3"/>
        </x:patternFill>
      </x:fill>
    </x:dxf>
    <x:dxf>
      <x:font>
        <x:b/>
        <x:color rgb="FF52606A"/>
      </x:font>
      <x:fill>
        <x:patternFill patternType="solid">
          <x:bgColor rgb="FFEEF1F3"/>
        </x:patternFill>
      </x:fill>
    </x:dxf>
    <x:dxf>
      <x:font>
        <x:b/>
        <x:color rgb="FF36566F"/>
      </x:font>
      <x:fill>
        <x:patternFill patternType="solid">
          <x:bgColor rgb="FFEAF0F5"/>
        </x:patternFill>
      </x:fill>
    </x:dxf>
    <x:dxf>
      <x:font>
        <x:b/>
        <x:color rgb="FF36566F"/>
      </x:font>
      <x:fill>
        <x:patternFill patternType="solid">
          <x:bgColor rgb="FFEAF0F5"/>
        </x:patternFill>
      </x:fill>
    </x:dxf>
    <x:dxf>
      <x:font>
        <x:b/>
        <x:color rgb="FF36566F"/>
      </x:font>
      <x:fill>
        <x:patternFill patternType="solid">
          <x:bgColor rgb="FFEAF0F5"/>
        </x:patternFill>
      </x:fill>
    </x:dxf>
    <x:dxf>
      <x:font>
        <x:b/>
        <x:color rgb="FF36566F"/>
      </x:font>
      <x:fill>
        <x:patternFill patternType="solid">
          <x:bgColor rgb="FFEAF0F5"/>
        </x:patternFill>
      </x:fill>
    </x:dxf>
    <x:dxf>
      <x:font>
        <x:b/>
        <x:color rgb="FF36566F"/>
      </x:font>
      <x:fill>
        <x:patternFill patternType="solid">
          <x:bgColor rgb="FFEAF0F5"/>
        </x:patternFill>
      </x:fill>
    </x:dxf>
    <x:dxf>
      <x:font>
        <x:b/>
        <x:color rgb="FF36566F"/>
      </x:font>
      <x:fill>
        <x:patternFill patternType="solid">
          <x:bgColor rgb="FFEAF0F5"/>
        </x:patternFill>
      </x:fill>
    </x:dxf>
    <x:dxf>
      <x:font>
        <x:b/>
        <x:color rgb="FF2B5F93"/>
      </x:font>
      <x:fill>
        <x:patternFill patternType="solid">
          <x:bgColor rgb="FFE8F0FA"/>
        </x:patternFill>
      </x:fill>
    </x:dxf>
    <x:dxf>
      <x:font>
        <x:b/>
        <x:color rgb="FF2B5F93"/>
      </x:font>
      <x:fill>
        <x:patternFill patternType="solid">
          <x:bgColor rgb="FFE8F0FA"/>
        </x:patternFill>
      </x:fill>
    </x:dxf>
    <x:dxf>
      <x:font>
        <x:b/>
        <x:color rgb="FF805B16"/>
      </x:font>
      <x:fill>
        <x:patternFill patternType="solid">
          <x:bgColor rgb="FFFFF4D6"/>
        </x:patternFill>
      </x:fill>
    </x:dxf>
    <x:dxf>
      <x:font>
        <x:b/>
        <x:color rgb="FF805B16"/>
      </x:font>
      <x:fill>
        <x:patternFill patternType="solid">
          <x:bgColor rgb="FFFFF4D6"/>
        </x:patternFill>
      </x:fill>
    </x:dxf>
    <x:dxf>
      <x:font>
        <x:b/>
        <x:color rgb="FF236344"/>
      </x:font>
      <x:fill>
        <x:patternFill patternType="solid">
          <x:bgColor rgb="FFE7F3EC"/>
        </x:patternFill>
      </x:fill>
    </x:dxf>
    <x:dxf>
      <x:font>
        <x:b/>
        <x:color rgb="FF805B16"/>
      </x:font>
      <x:fill>
        <x:patternFill patternType="solid">
          <x:bgColor rgb="FFFFF4D6"/>
        </x:patternFill>
      </x:fill>
    </x:dxf>
    <x:dxf>
      <x:font>
        <x:b/>
        <x:color rgb="FF9A2F2A"/>
      </x:font>
      <x:fill>
        <x:patternFill patternType="solid">
          <x:bgColor rgb="FFFCE8E6"/>
        </x:patternFill>
      </x:fill>
    </x:dxf>
    <x:dxf>
      <x:font>
        <x:b/>
        <x:color rgb="FF9A2F2A"/>
      </x:font>
      <x:fill>
        <x:patternFill patternType="solid">
          <x:bgColor rgb="FFFCE8E6"/>
        </x:patternFill>
      </x:fill>
    </x:dxf>
    <x:dxf>
      <x:font>
        <x:b/>
        <x:color rgb="FF9A2F2A"/>
      </x:font>
      <x:fill>
        <x:patternFill patternType="solid">
          <x:bgColor rgb="FFFCE8E6"/>
        </x:patternFill>
      </x:fill>
    </x:dxf>
    <x:dxf>
      <x:font>
        <x:b/>
        <x:color rgb="FF9A2F2A"/>
      </x:font>
      <x:fill>
        <x:patternFill patternType="solid">
          <x:bgColor rgb="FFFCE8E6"/>
        </x:patternFill>
      </x:fill>
    </x:dxf>
    <x:dxf>
      <x:font>
        <x:b/>
        <x:color rgb="FF52606A"/>
      </x:font>
      <x:fill>
        <x:patternFill patternType="solid">
          <x:bgColor rgb="FFEEF1F3"/>
        </x:patternFill>
      </x:fill>
    </x:dxf>
    <x:dxf>
      <x:font>
        <x:b/>
        <x:color rgb="FF52606A"/>
      </x:font>
      <x:fill>
        <x:patternFill patternType="solid">
          <x:bgColor rgb="FFEEF1F3"/>
        </x:patternFill>
      </x:fill>
    </x:dxf>
    <x:dxf>
      <x:font>
        <x:b/>
        <x:color rgb="FF36566F"/>
      </x:font>
      <x:fill>
        <x:patternFill patternType="solid">
          <x:bgColor rgb="FFEAF0F5"/>
        </x:patternFill>
      </x:fill>
    </x:dxf>
    <x:dxf>
      <x:font>
        <x:b/>
        <x:color rgb="FF36566F"/>
      </x:font>
      <x:fill>
        <x:patternFill patternType="solid">
          <x:bgColor rgb="FFEAF0F5"/>
        </x:patternFill>
      </x:fill>
    </x:dxf>
    <x:dxf>
      <x:font>
        <x:b/>
        <x:color rgb="FF36566F"/>
      </x:font>
      <x:fill>
        <x:patternFill patternType="solid">
          <x:bgColor rgb="FFEAF0F5"/>
        </x:patternFill>
      </x:fill>
    </x:dxf>
    <x:dxf>
      <x:font>
        <x:b/>
        <x:color rgb="FF36566F"/>
      </x:font>
      <x:fill>
        <x:patternFill patternType="solid">
          <x:bgColor rgb="FFEAF0F5"/>
        </x:patternFill>
      </x:fill>
    </x:dxf>
    <x:dxf>
      <x:font>
        <x:b/>
        <x:color rgb="FF36566F"/>
      </x:font>
      <x:fill>
        <x:patternFill patternType="solid">
          <x:bgColor rgb="FFEAF0F5"/>
        </x:patternFill>
      </x:fill>
    </x:dxf>
    <x:dxf>
      <x:font>
        <x:b/>
        <x:color rgb="FF36566F"/>
      </x:font>
      <x:fill>
        <x:patternFill patternType="solid">
          <x:bgColor rgb="FFEAF0F5"/>
        </x:patternFill>
      </x:fill>
    </x:dxf>
    <x:dxf>
      <x:font>
        <x:b/>
        <x:color rgb="FF2B5F93"/>
      </x:font>
      <x:fill>
        <x:patternFill patternType="solid">
          <x:bgColor rgb="FFE8F0FA"/>
        </x:patternFill>
      </x:fill>
    </x:dxf>
    <x:dxf>
      <x:font>
        <x:b/>
        <x:color rgb="FF2B5F93"/>
      </x:font>
      <x:fill>
        <x:patternFill patternType="solid">
          <x:bgColor rgb="FFE8F0FA"/>
        </x:patternFill>
      </x:fill>
    </x:dxf>
    <x:dxf>
      <x:font>
        <x:b/>
        <x:color rgb="FF805B16"/>
      </x:font>
      <x:fill>
        <x:patternFill patternType="solid">
          <x:bgColor rgb="FFFFF4D6"/>
        </x:patternFill>
      </x:fill>
    </x:dxf>
    <x:dxf>
      <x:font>
        <x:b/>
        <x:color rgb="FF805B16"/>
      </x:font>
      <x:fill>
        <x:patternFill patternType="solid">
          <x:bgColor rgb="FFFFF4D6"/>
        </x:patternFill>
      </x:fill>
    </x:dxf>
    <x:dxf>
      <x:font>
        <x:b/>
        <x:color rgb="FF236344"/>
      </x:font>
      <x:fill>
        <x:patternFill patternType="solid">
          <x:bgColor rgb="FFE7F3EC"/>
        </x:patternFill>
      </x:fill>
    </x:dxf>
    <x:dxf>
      <x:font>
        <x:b/>
        <x:color rgb="FF805B16"/>
      </x:font>
      <x:fill>
        <x:patternFill patternType="solid">
          <x:bgColor rgb="FFFFF4D6"/>
        </x:patternFill>
      </x:fill>
    </x:dxf>
    <x:dxf>
      <x:font>
        <x:b/>
        <x:color rgb="FF9A2F2A"/>
      </x:font>
      <x:fill>
        <x:patternFill patternType="solid">
          <x:bgColor rgb="FFFCE8E6"/>
        </x:patternFill>
      </x:fill>
    </x:dxf>
    <x:dxf>
      <x:font>
        <x:b/>
        <x:color rgb="FF9A2F2A"/>
      </x:font>
      <x:fill>
        <x:patternFill patternType="solid">
          <x:bgColor rgb="FFFCE8E6"/>
        </x:patternFill>
      </x:fill>
    </x:dxf>
    <x:dxf>
      <x:font>
        <x:b/>
        <x:color rgb="FF9A2F2A"/>
      </x:font>
      <x:fill>
        <x:patternFill patternType="solid">
          <x:bgColor rgb="FFFCE8E6"/>
        </x:patternFill>
      </x:fill>
    </x:dxf>
    <x:dxf>
      <x:font>
        <x:b/>
        <x:color rgb="FF9A2F2A"/>
      </x:font>
      <x:fill>
        <x:patternFill patternType="solid">
          <x:bgColor rgb="FFFCE8E6"/>
        </x:patternFill>
      </x:fill>
    </x:dxf>
    <x:dxf>
      <x:font>
        <x:b/>
        <x:color rgb="FF52606A"/>
      </x:font>
      <x:fill>
        <x:patternFill patternType="solid">
          <x:bgColor rgb="FFEEF1F3"/>
        </x:patternFill>
      </x:fill>
    </x:dxf>
    <x:dxf>
      <x:font>
        <x:b/>
        <x:color rgb="FF52606A"/>
      </x:font>
      <x:fill>
        <x:patternFill patternType="solid">
          <x:bgColor rgb="FFEEF1F3"/>
        </x:patternFill>
      </x:fill>
    </x:dxf>
    <x:dxf>
      <x:font>
        <x:b/>
        <x:color rgb="FF36566F"/>
      </x:font>
      <x:fill>
        <x:patternFill patternType="solid">
          <x:bgColor rgb="FFEAF0F5"/>
        </x:patternFill>
      </x:fill>
    </x:dxf>
    <x:dxf>
      <x:font>
        <x:b/>
        <x:color rgb="FF36566F"/>
      </x:font>
      <x:fill>
        <x:patternFill patternType="solid">
          <x:bgColor rgb="FFEAF0F5"/>
        </x:patternFill>
      </x:fill>
    </x:dxf>
    <x:dxf>
      <x:font>
        <x:b/>
        <x:color rgb="FF36566F"/>
      </x:font>
      <x:fill>
        <x:patternFill patternType="solid">
          <x:bgColor rgb="FFEAF0F5"/>
        </x:patternFill>
      </x:fill>
    </x:dxf>
    <x:dxf>
      <x:font>
        <x:b/>
        <x:color rgb="FF36566F"/>
      </x:font>
      <x:fill>
        <x:patternFill patternType="solid">
          <x:bgColor rgb="FFEAF0F5"/>
        </x:patternFill>
      </x:fill>
    </x:dxf>
    <x:dxf>
      <x:font>
        <x:b/>
        <x:color rgb="FF36566F"/>
      </x:font>
      <x:fill>
        <x:patternFill patternType="solid">
          <x:bgColor rgb="FFEAF0F5"/>
        </x:patternFill>
      </x:fill>
    </x:dxf>
    <x:dxf>
      <x:font>
        <x:b/>
        <x:color rgb="FF36566F"/>
      </x:font>
      <x:fill>
        <x:patternFill patternType="solid">
          <x:bgColor rgb="FFEAF0F5"/>
        </x:patternFill>
      </x:fill>
    </x:dxf>
    <x:dxf>
      <x:font>
        <x:b/>
        <x:color rgb="FF2B5F93"/>
      </x:font>
      <x:fill>
        <x:patternFill patternType="solid">
          <x:bgColor rgb="FFE8F0FA"/>
        </x:patternFill>
      </x:fill>
    </x:dxf>
    <x:dxf>
      <x:font>
        <x:b/>
        <x:color rgb="FF2B5F93"/>
      </x:font>
      <x:fill>
        <x:patternFill patternType="solid">
          <x:bgColor rgb="FFE8F0FA"/>
        </x:patternFill>
      </x:fill>
    </x:dxf>
    <x:dxf>
      <x:font>
        <x:b/>
        <x:color rgb="FF805B16"/>
      </x:font>
      <x:fill>
        <x:patternFill patternType="solid">
          <x:bgColor rgb="FFFFF4D6"/>
        </x:patternFill>
      </x:fill>
    </x:dxf>
    <x:dxf>
      <x:font>
        <x:b/>
        <x:color rgb="FF805B16"/>
      </x:font>
      <x:fill>
        <x:patternFill patternType="solid">
          <x:bgColor rgb="FFFFF4D6"/>
        </x:patternFill>
      </x:fill>
    </x:dxf>
    <x:dxf>
      <x:font>
        <x:b/>
        <x:color rgb="FF236344"/>
      </x:font>
      <x:fill>
        <x:patternFill patternType="solid">
          <x:bgColor rgb="FFE7F3EC"/>
        </x:patternFill>
      </x:fill>
    </x:dxf>
    <x:dxf>
      <x:font>
        <x:b/>
        <x:color rgb="FF805B16"/>
      </x:font>
      <x:fill>
        <x:patternFill patternType="solid">
          <x:bgColor rgb="FFFFF4D6"/>
        </x:patternFill>
      </x:fill>
    </x:dxf>
    <x:dxf>
      <x:font>
        <x:b/>
        <x:color rgb="FF9A2F2A"/>
      </x:font>
      <x:fill>
        <x:patternFill patternType="solid">
          <x:bgColor rgb="FFFCE8E6"/>
        </x:patternFill>
      </x:fill>
    </x:dxf>
    <x:dxf>
      <x:font>
        <x:b/>
        <x:color rgb="FF9A2F2A"/>
      </x:font>
      <x:fill>
        <x:patternFill patternType="solid">
          <x:bgColor rgb="FFFCE8E6"/>
        </x:patternFill>
      </x:fill>
    </x:dxf>
    <x:dxf>
      <x:font>
        <x:b/>
        <x:color rgb="FF9A2F2A"/>
      </x:font>
      <x:fill>
        <x:patternFill patternType="solid">
          <x:bgColor rgb="FFFCE8E6"/>
        </x:patternFill>
      </x:fill>
    </x:dxf>
    <x:dxf>
      <x:font>
        <x:b/>
        <x:color rgb="FF9A2F2A"/>
      </x:font>
      <x:fill>
        <x:patternFill patternType="solid">
          <x:bgColor rgb="FFFCE8E6"/>
        </x:patternFill>
      </x:fill>
    </x:dxf>
    <x:dxf>
      <x:font>
        <x:b/>
        <x:color rgb="FF52606A"/>
      </x:font>
      <x:fill>
        <x:patternFill patternType="solid">
          <x:bgColor rgb="FFEEF1F3"/>
        </x:patternFill>
      </x:fill>
    </x:dxf>
    <x:dxf>
      <x:font>
        <x:b/>
        <x:color rgb="FF52606A"/>
      </x:font>
      <x:fill>
        <x:patternFill patternType="solid">
          <x:bgColor rgb="FFEEF1F3"/>
        </x:patternFill>
      </x:fill>
    </x:dxf>
    <x:dxf>
      <x:font>
        <x:b/>
        <x:color rgb="FF36566F"/>
      </x:font>
      <x:fill>
        <x:patternFill patternType="solid">
          <x:bgColor rgb="FFEAF0F5"/>
        </x:patternFill>
      </x:fill>
    </x:dxf>
    <x:dxf>
      <x:font>
        <x:b/>
        <x:color rgb="FF36566F"/>
      </x:font>
      <x:fill>
        <x:patternFill patternType="solid">
          <x:bgColor rgb="FFEAF0F5"/>
        </x:patternFill>
      </x:fill>
    </x:dxf>
    <x:dxf>
      <x:font>
        <x:b/>
        <x:color rgb="FF36566F"/>
      </x:font>
      <x:fill>
        <x:patternFill patternType="solid">
          <x:bgColor rgb="FFEAF0F5"/>
        </x:patternFill>
      </x:fill>
    </x:dxf>
    <x:dxf>
      <x:font>
        <x:b/>
        <x:color rgb="FF36566F"/>
      </x:font>
      <x:fill>
        <x:patternFill patternType="solid">
          <x:bgColor rgb="FFEAF0F5"/>
        </x:patternFill>
      </x:fill>
    </x:dxf>
    <x:dxf>
      <x:font>
        <x:b/>
        <x:color rgb="FF36566F"/>
      </x:font>
      <x:fill>
        <x:patternFill patternType="solid">
          <x:bgColor rgb="FFEAF0F5"/>
        </x:patternFill>
      </x:fill>
    </x:dxf>
    <x:dxf>
      <x:font>
        <x:b/>
        <x:color rgb="FF36566F"/>
      </x:font>
      <x:fill>
        <x:patternFill patternType="solid">
          <x:bgColor rgb="FFEAF0F5"/>
        </x:patternFill>
      </x:fill>
    </x:dxf>
    <x:dxf>
      <x:font>
        <x:b/>
        <x:color rgb="FF2B5F93"/>
      </x:font>
      <x:fill>
        <x:patternFill patternType="solid">
          <x:bgColor rgb="FFE8F0FA"/>
        </x:patternFill>
      </x:fill>
    </x:dxf>
    <x:dxf>
      <x:font>
        <x:b/>
        <x:color rgb="FF2B5F93"/>
      </x:font>
      <x:fill>
        <x:patternFill patternType="solid">
          <x:bgColor rgb="FFE8F0FA"/>
        </x:patternFill>
      </x:fill>
    </x:dxf>
    <x:dxf>
      <x:font>
        <x:b/>
        <x:color rgb="FF805B16"/>
      </x:font>
      <x:fill>
        <x:patternFill patternType="solid">
          <x:bgColor rgb="FFFFF4D6"/>
        </x:patternFill>
      </x:fill>
    </x:dxf>
    <x:dxf>
      <x:font>
        <x:b/>
        <x:color rgb="FF805B16"/>
      </x:font>
      <x:fill>
        <x:patternFill patternType="solid">
          <x:bgColor rgb="FFFFF4D6"/>
        </x:patternFill>
      </x:fill>
    </x:dxf>
    <x:dxf>
      <x:font>
        <x:b/>
        <x:color rgb="FF236344"/>
      </x:font>
      <x:fill>
        <x:patternFill patternType="solid">
          <x:bgColor rgb="FFE7F3EC"/>
        </x:patternFill>
      </x:fill>
    </x:dxf>
    <x:dxf>
      <x:font>
        <x:b/>
        <x:color rgb="FF805B16"/>
      </x:font>
      <x:fill>
        <x:patternFill patternType="solid">
          <x:bgColor rgb="FFFFF4D6"/>
        </x:patternFill>
      </x:fill>
    </x:dxf>
    <x:dxf>
      <x:font>
        <x:b/>
        <x:color rgb="FF9A2F2A"/>
      </x:font>
      <x:fill>
        <x:patternFill patternType="solid">
          <x:bgColor rgb="FFFCE8E6"/>
        </x:patternFill>
      </x:fill>
    </x:dxf>
    <x:dxf>
      <x:font>
        <x:b/>
        <x:color rgb="FF9A2F2A"/>
      </x:font>
      <x:fill>
        <x:patternFill patternType="solid">
          <x:bgColor rgb="FFFCE8E6"/>
        </x:patternFill>
      </x:fill>
    </x:dxf>
    <x:dxf>
      <x:font>
        <x:b/>
        <x:color rgb="FF9A2F2A"/>
      </x:font>
      <x:fill>
        <x:patternFill patternType="solid">
          <x:bgColor rgb="FFFCE8E6"/>
        </x:patternFill>
      </x:fill>
    </x:dxf>
    <x:dxf>
      <x:font>
        <x:b/>
        <x:color rgb="FF9A2F2A"/>
      </x:font>
      <x:fill>
        <x:patternFill patternType="solid">
          <x:bgColor rgb="FFFCE8E6"/>
        </x:patternFill>
      </x:fill>
    </x:dxf>
    <x:dxf>
      <x:font>
        <x:b/>
        <x:color rgb="FF52606A"/>
      </x:font>
      <x:fill>
        <x:patternFill patternType="solid">
          <x:bgColor rgb="FFEEF1F3"/>
        </x:patternFill>
      </x:fill>
    </x:dxf>
    <x:dxf>
      <x:font>
        <x:b/>
        <x:color rgb="FF52606A"/>
      </x:font>
      <x:fill>
        <x:patternFill patternType="solid">
          <x:bgColor rgb="FFEEF1F3"/>
        </x:patternFill>
      </x:fill>
    </x:dxf>
    <x:dxf>
      <x:font>
        <x:b/>
        <x:color rgb="FF36566F"/>
      </x:font>
      <x:fill>
        <x:patternFill patternType="solid">
          <x:bgColor rgb="FFEAF0F5"/>
        </x:patternFill>
      </x:fill>
    </x:dxf>
    <x:dxf>
      <x:font>
        <x:b/>
        <x:color rgb="FF36566F"/>
      </x:font>
      <x:fill>
        <x:patternFill patternType="solid">
          <x:bgColor rgb="FFEAF0F5"/>
        </x:patternFill>
      </x:fill>
    </x:dxf>
    <x:dxf>
      <x:font>
        <x:b/>
        <x:color rgb="FF36566F"/>
      </x:font>
      <x:fill>
        <x:patternFill patternType="solid">
          <x:bgColor rgb="FFEAF0F5"/>
        </x:patternFill>
      </x:fill>
    </x:dxf>
    <x:dxf>
      <x:font>
        <x:b/>
        <x:color rgb="FF36566F"/>
      </x:font>
      <x:fill>
        <x:patternFill patternType="solid">
          <x:bgColor rgb="FFEAF0F5"/>
        </x:patternFill>
      </x:fill>
    </x:dxf>
    <x:dxf>
      <x:font>
        <x:b/>
        <x:color rgb="FF36566F"/>
      </x:font>
      <x:fill>
        <x:patternFill patternType="solid">
          <x:bgColor rgb="FFEAF0F5"/>
        </x:patternFill>
      </x:fill>
    </x:dxf>
    <x:dxf>
      <x:font>
        <x:b/>
        <x:color rgb="FF36566F"/>
      </x:font>
      <x:fill>
        <x:patternFill patternType="solid">
          <x:bgColor rgb="FFEAF0F5"/>
        </x:patternFill>
      </x:fill>
    </x:dxf>
    <x:dxf>
      <x:font>
        <x:b/>
        <x:color rgb="FF2B5F93"/>
      </x:font>
      <x:fill>
        <x:patternFill patternType="solid">
          <x:bgColor rgb="FFE8F0FA"/>
        </x:patternFill>
      </x:fill>
    </x:dxf>
    <x:dxf>
      <x:font>
        <x:b/>
        <x:color rgb="FF2B5F93"/>
      </x:font>
      <x:fill>
        <x:patternFill patternType="solid">
          <x:bgColor rgb="FFE8F0FA"/>
        </x:patternFill>
      </x:fill>
    </x:dxf>
    <x:dxf>
      <x:font>
        <x:b/>
        <x:color rgb="FF805B16"/>
      </x:font>
      <x:fill>
        <x:patternFill patternType="solid">
          <x:bgColor rgb="FFFFF4D6"/>
        </x:patternFill>
      </x:fill>
    </x:dxf>
    <x:dxf>
      <x:font>
        <x:b/>
        <x:color rgb="FF805B16"/>
      </x:font>
      <x:fill>
        <x:patternFill patternType="solid">
          <x:bgColor rgb="FFFFF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eef1180ad148f8" /><Relationship Type="http://schemas.openxmlformats.org/officeDocument/2006/relationships/theme" Target="/xl/theme/theme1.xml" Id="R43ecfa5842044e9a" /><Relationship Type="http://schemas.openxmlformats.org/officeDocument/2006/relationships/sharedStrings" Target="/xl/sharedStrings.xml" Id="Rd88c0415fdcb4317" /><Relationship Type="http://schemas.openxmlformats.org/officeDocument/2006/relationships/worksheet" Target="/xl/worksheets/sheet1.xml" Id="R8b6c6734aa3a4ad3" /><Relationship Type="http://schemas.openxmlformats.org/officeDocument/2006/relationships/worksheet" Target="/xl/worksheets/sheet2.xml" Id="R91b95f3845f342e0" /><Relationship Type="http://schemas.openxmlformats.org/officeDocument/2006/relationships/worksheet" Target="/xl/worksheets/sheet3.xml" Id="R6dc6f5246b6a40bb" /><Relationship Type="http://schemas.openxmlformats.org/officeDocument/2006/relationships/worksheet" Target="/xl/worksheets/sheet4.xml" Id="Re30ff716b8da415e" /><Relationship Type="http://schemas.openxmlformats.org/officeDocument/2006/relationships/worksheet" Target="/xl/worksheets/sheet5.xml" Id="R9b2102f1445e4229" /><Relationship Type="http://schemas.openxmlformats.org/officeDocument/2006/relationships/worksheet" Target="/xl/worksheets/sheet6.xml" Id="R3ae6dd0c5ba44e8a" /><Relationship Type="http://schemas.openxmlformats.org/officeDocument/2006/relationships/worksheet" Target="/xl/worksheets/sheet7.xml" Id="R39b2e7d8eb9d4c19" /><Relationship Type="http://schemas.openxmlformats.org/officeDocument/2006/relationships/worksheet" Target="/xl/worksheets/sheet8.xml" Id="Rd0a0f88924a54b45" /><Relationship Type="http://schemas.openxmlformats.org/officeDocument/2006/relationships/worksheet" Target="/xl/worksheets/sheet9.xml" Id="Rcd473cdae3ed44a0" /></Relationships>
</file>

<file path=xl/tables/table1.xml><?xml version="1.0" encoding="utf-8"?>
<x:table xmlns:x="http://schemas.openxmlformats.org/spreadsheetml/2006/main" id="1" name="PTMFamilyLedger" displayName="PTMFamilyLedger" ref="A1:R112" headerRowCount="1" totalsRowCount="0" totalsRowShown="0">
  <x:autoFilter ref="A1:R112"/>
  <x:tableColumns count="18">
    <x:tableColumn id="1" name="Family ID"/>
    <x:tableColumn id="2" name="PTM family"/>
    <x:tableColumn id="3" name="Primary chemistry class"/>
    <x:tableColumn id="4" name="Headline"/>
    <x:tableColumn id="5" name="Scope tier"/>
    <x:tableColumn id="6" name="Evidence tier"/>
    <x:tableColumn id="7" name="Operational definition"/>
    <x:tableColumn id="8" name="Children / aliases"/>
    <x:tableColumn id="9" name="Normalization decision"/>
    <x:tableColumn id="10" name="Inclusion basis"/>
    <x:tableColumn id="11" name="Example terms"/>
    <x:tableColumn id="12" name="Primary source URLs"/>
    <x:tableColumn id="13" name="Confidence"/>
    <x:tableColumn id="14" name="Strict endogenous"/>
    <x:tableColumn id="15" name="Established only"/>
    <x:tableColumn id="16" name="Excluding processing"/>
    <x:tableColumn id="17" name="Excluding cofactor maturation"/>
    <x:tableColumn id="18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TMCoverageMatrix" displayName="PTMCoverageMatrix" ref="A1:R112" headerRowCount="1" totalsRowCount="0" totalsRowShown="0">
  <x:autoFilter ref="A1:R112"/>
  <x:tableColumns count="18">
    <x:tableColumn id="1" name="Family ID"/>
    <x:tableColumn id="2" name="PTM family"/>
    <x:tableColumn id="3" name="Primary chemistry class"/>
    <x:tableColumn id="4" name="In denominator"/>
    <x:tableColumn id="5" name="Dedicated resource ever"/>
    <x:tableColumn id="6" name="Live dedicated resource"/>
    <x:tableColumn id="7" name="Active, maintained resource"/>
    <x:tableColumn id="8" name="Best current resource"/>
    <x:tableColumn id="9" name="Resource class"/>
    <x:tableColumn id="10" name="Resource status"/>
    <x:tableColumn id="11" name="Experimental site evidence"/>
    <x:tableColumn id="12" name="Count"/>
    <x:tableColumn id="13" name="Count unit"/>
    <x:tableColumn id="14" name="Count snapshot"/>
    <x:tableColumn id="15" name="Coverage decision"/>
    <x:tableColumn id="16" name="Search scope / date"/>
    <x:tableColumn id="17" name="Source URL"/>
    <x:tableColumn id="18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TMResourceRoster" displayName="PTMResourceRoster" ref="A1:Q71" headerRowCount="1" totalsRowCount="0" totalsRowShown="0">
  <x:autoFilter ref="A1:Q71"/>
  <x:tableColumns count="17">
    <x:tableColumn id="1" name="Resource"/>
    <x:tableColumn id="2" name="Resource class"/>
    <x:tableColumn id="3" name="Scope"/>
    <x:tableColumn id="4" name="Experimental site evidence"/>
    <x:tableColumn id="5" name="Status"/>
    <x:tableColumn id="6" name="Status basis"/>
    <x:tableColumn id="7" name="Snapshot / update"/>
    <x:tableColumn id="8" name="Primary count"/>
    <x:tableColumn id="9" name="Primary count unit"/>
    <x:tableColumn id="10" name="Proteins"/>
    <x:tableColumn id="11" name="Species / taxa"/>
    <x:tableColumn id="12" name="PTM families"/>
    <x:tableColumn id="13" name="Other exact counts"/>
    <x:tableColumn id="14" name="Official URL"/>
    <x:tableColumn id="15" name="Primary source URL"/>
    <x:tableColumn id="16" name="Coverage decision"/>
    <x:tableColumn id="17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TMVerifiedTotals" displayName="PTMVerifiedTotals" ref="A1:L73" headerRowCount="1" totalsRowCount="0" totalsRowShown="0">
  <x:autoFilter ref="A1:L73"/>
  <x:tableColumns count="12">
    <x:tableColumn id="1" name="Resource"/>
    <x:tableColumn id="2" name="Resource class"/>
    <x:tableColumn id="3" name="Operational PTM family"/>
    <x:tableColumn id="4" name="Scope / metric"/>
    <x:tableColumn id="5" name="Status"/>
    <x:tableColumn id="6" name="Release / update"/>
    <x:tableColumn id="7" name="Count"/>
    <x:tableColumn id="8" name="Count unit"/>
    <x:tableColumn id="9" name="Source URL"/>
    <x:tableColumn id="10" name="Accessed"/>
    <x:tableColumn id="11" name="Access / license"/>
    <x:tableColumn id="12" name="Caveat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TMRareFamilyAudit" displayName="PTMRareFamilyAudit" ref="A1:J76" headerRowCount="1" totalsRowCount="0" totalsRowShown="0">
  <x:autoFilter ref="A1:J76"/>
  <x:tableColumns count="10">
    <x:tableColumn id="1" name="Category"/>
    <x:tableColumn id="2" name="Candidate family"/>
    <x:tableColumn id="3" name="Aliases / children"/>
    <x:tableColumn id="4" name="Chemistry / linkage"/>
    <x:tableColumn id="5" name="Natural vs artifact"/>
    <x:tableColumn id="6" name="dbPTM cross-check"/>
    <x:tableColumn id="7" name="ProteomeScout cross-check"/>
    <x:tableColumn id="8" name="Recommendation"/>
    <x:tableColumn id="9" name="Evidence URL / DOI"/>
    <x:tableColumn id="10" name="Audit not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TMGapAuditA" displayName="PTMGapAuditA" ref="A1:N24" headerRowCount="1" totalsRowCount="0" totalsRowShown="0">
  <x:autoFilter ref="A1:N24"/>
  <x:tableColumns count="14">
    <x:tableColumn id="1" name="Legacy ID"/>
    <x:tableColumn id="2" name="Legacy family"/>
    <x:tableColumn id="3" name="Final family ID"/>
    <x:tableColumn id="4" name="Scope / residue"/>
    <x:tableColumn id="5" name="Best current resource"/>
    <x:tableColumn id="6" name="Resource status"/>
    <x:tableColumn id="7" name="Status definition"/>
    <x:tableColumn id="8" name="Count"/>
    <x:tableColumn id="9" name="Count unit"/>
    <x:tableColumn id="10" name="Count snapshot"/>
    <x:tableColumn id="11" name="Coverage decision"/>
    <x:tableColumn id="12" name="Other evidence"/>
    <x:tableColumn id="13" name="Source URL"/>
    <x:tableColumn id="14" name="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TMGapAuditB" displayName="PTMGapAuditB" ref="A1:T46" headerRowCount="1" totalsRowCount="0" totalsRowShown="0">
  <x:autoFilter ref="A1:T46"/>
  <x:tableColumns count="20">
    <x:tableColumn id="1" name="Legacy family ID"/>
    <x:tableColumn id="2" name="Legacy family"/>
    <x:tableColumn id="3" name="Primary chemistry class"/>
    <x:tableColumn id="4" name="In denominator"/>
    <x:tableColumn id="5" name="Dedicated resource ever"/>
    <x:tableColumn id="6" name="Live dedicated resource"/>
    <x:tableColumn id="7" name="Active, maintained resource"/>
    <x:tableColumn id="8" name="Best current resource"/>
    <x:tableColumn id="9" name="Resource class"/>
    <x:tableColumn id="10" name="Resource status"/>
    <x:tableColumn id="11" name="Status definition"/>
    <x:tableColumn id="12" name="Experimental site evidence"/>
    <x:tableColumn id="13" name="Count"/>
    <x:tableColumn id="14" name="Count unit"/>
    <x:tableColumn id="15" name="Count snapshot"/>
    <x:tableColumn id="16" name="Coverage decision"/>
    <x:tableColumn id="17" name="Search scope / date"/>
    <x:tableColumn id="18" name="Source URL"/>
    <x:tableColumn id="19" name="Other evidence"/>
    <x:tableColumn id="20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?><Relationships xmlns="http://schemas.openxmlformats.org/package/2006/relationships"><Relationship Type="http://schemas.openxmlformats.org/officeDocument/2006/relationships/hyperlink" Target="https://academic.oup.com/nar/article/53/D1/D377/7889255" TargetMode="External" Id="rIdHyperlink1" /><Relationship Type="http://schemas.openxmlformats.org/officeDocument/2006/relationships/hyperlink" Target="https://proteomescout.wustl.edu/" TargetMode="External" Id="rIdHyperlink2" /><Relationship Type="http://schemas.openxmlformats.org/officeDocument/2006/relationships/hyperlink" Target="https://github.com/HUPO-PSI/psi-mod-CV" TargetMode="External" Id="rIdHyperlink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b40e74572f8b4fdb" /><Relationship Type="http://schemas.openxmlformats.org/officeDocument/2006/relationships/hyperlink" Target="https://biomics.lab.nycu.edu.tw/dbPTM/statistics.php" TargetMode="External" Id="rIdHyperlink1" /><Relationship Type="http://schemas.openxmlformats.org/officeDocument/2006/relationships/hyperlink" Target="https://cplm.biocuckoo.cn/" TargetMode="External" Id="rIdHyperlink2" /><Relationship Type="http://schemas.openxmlformats.org/officeDocument/2006/relationships/hyperlink" Target="https://cplm.biocuckoo.cn/" TargetMode="External" Id="rIdHyperlink3" /><Relationship Type="http://schemas.openxmlformats.org/officeDocument/2006/relationships/hyperlink" Target="https://cplm.biocuckoo.cn/" TargetMode="External" Id="rIdHyperlink4" /><Relationship Type="http://schemas.openxmlformats.org/officeDocument/2006/relationships/hyperlink" Target="https://doi.org/10.7554/eLife.104123" TargetMode="External" Id="rIdHyperlink5" /><Relationship Type="http://schemas.openxmlformats.org/officeDocument/2006/relationships/hyperlink" Target="https://pmc.ncbi.nlm.nih.gov/articles/PMC10845139/" TargetMode="External" Id="rIdHyperlink6" /><Relationship Type="http://schemas.openxmlformats.org/officeDocument/2006/relationships/hyperlink" Target="https://biomics.lab.nycu.edu.tw/dbPTM/statistics.php" TargetMode="External" Id="rIdHyperlink7" /><Relationship Type="http://schemas.openxmlformats.org/officeDocument/2006/relationships/hyperlink" Target="https://ftp.uniprot.org/pub/databases/uniprot/current_release/knowledgebase/complete/docs/ptmlist.txt" TargetMode="External" Id="rIdHyperlink8" /><Relationship Type="http://schemas.openxmlformats.org/officeDocument/2006/relationships/hyperlink" Target="https://ftp.uniprot.org/pub/databases/uniprot/current_release/knowledgebase/complete/docs/ptmlist.txt" TargetMode="External" Id="rIdHyperlink9" /><Relationship Type="http://schemas.openxmlformats.org/officeDocument/2006/relationships/hyperlink" Target="https://biomics.lab.nycu.edu.tw/dbPTM/statistics.php" TargetMode="External" Id="rIdHyperlink10" /><Relationship Type="http://schemas.openxmlformats.org/officeDocument/2006/relationships/hyperlink" Target="https://biomics.lab.nycu.edu.tw/dbPTM/statistics.php" TargetMode="External" Id="rIdHyperlink11" /><Relationship Type="http://schemas.openxmlformats.org/officeDocument/2006/relationships/hyperlink" Target="https://biomics.lab.nycu.edu.tw/dbPTM/statistics.php" TargetMode="External" Id="rIdHyperlink12" /><Relationship Type="http://schemas.openxmlformats.org/officeDocument/2006/relationships/hyperlink" Target="https://biomics.lab.nycu.edu.tw/dbPTM/statistics.php" TargetMode="External" Id="rIdHyperlink13" /><Relationship Type="http://schemas.openxmlformats.org/officeDocument/2006/relationships/hyperlink" Target="https://doi.org/10.1038/s41580-025-00876-7" TargetMode="External" Id="rIdHyperlink14" /><Relationship Type="http://schemas.openxmlformats.org/officeDocument/2006/relationships/hyperlink" Target="https://doi.org/10.1038/s41580-025-00876-7" TargetMode="External" Id="rIdHyperlink15" /><Relationship Type="http://schemas.openxmlformats.org/officeDocument/2006/relationships/hyperlink" Target="https://doi.org/10.1038/s41580-025-00876-7" TargetMode="External" Id="rIdHyperlink16" /><Relationship Type="http://schemas.openxmlformats.org/officeDocument/2006/relationships/hyperlink" Target="https://doi.org/10.1016/j.cmet.2026.05.016" TargetMode="External" Id="rIdHyperlink17" /><Relationship Type="http://schemas.openxmlformats.org/officeDocument/2006/relationships/hyperlink" Target="https://doi.org/10.1038/s42255-026-01556-2" TargetMode="External" Id="rIdHyperlink18" /><Relationship Type="http://schemas.openxmlformats.org/officeDocument/2006/relationships/hyperlink" Target="https://biomics.lab.nycu.edu.tw/dbPTM/statistics.php" TargetMode="External" Id="rIdHyperlink19" /><Relationship Type="http://schemas.openxmlformats.org/officeDocument/2006/relationships/hyperlink" Target="https://ftp.uniprot.org/pub/databases/uniprot/current_release/knowledgebase/complete/docs/ptmlist.txt" TargetMode="External" Id="rIdHyperlink20" /><Relationship Type="http://schemas.openxmlformats.org/officeDocument/2006/relationships/hyperlink" Target="https://biomics.lab.nycu.edu.tw/dbPTM/statistics.php" TargetMode="External" Id="rIdHyperlink21" /><Relationship Type="http://schemas.openxmlformats.org/officeDocument/2006/relationships/hyperlink" Target="https://biomics.lab.nycu.edu.tw/dbPTM/statistics.php" TargetMode="External" Id="rIdHyperlink22" /><Relationship Type="http://schemas.openxmlformats.org/officeDocument/2006/relationships/hyperlink" Target="https://biomics.lab.nycu.edu.tw/dbPTM/statistics.php" TargetMode="External" Id="rIdHyperlink23" /><Relationship Type="http://schemas.openxmlformats.org/officeDocument/2006/relationships/hyperlink" Target="https://biomics.lab.nycu.edu.tw/dbPTM/statistics.php" TargetMode="External" Id="rIdHyperlink24" /><Relationship Type="http://schemas.openxmlformats.org/officeDocument/2006/relationships/hyperlink" Target="https://pmc.ncbi.nlm.nih.gov/articles/PMC10199459/" TargetMode="External" Id="rIdHyperlink25" /><Relationship Type="http://schemas.openxmlformats.org/officeDocument/2006/relationships/hyperlink" Target="https://biomics.lab.nycu.edu.tw/dbPTM/statistics.php" TargetMode="External" Id="rIdHyperlink26" /><Relationship Type="http://schemas.openxmlformats.org/officeDocument/2006/relationships/hyperlink" Target="https://biomics.lab.nycu.edu.tw/dbPTM/statistics.php" TargetMode="External" Id="rIdHyperlink27" /><Relationship Type="http://schemas.openxmlformats.org/officeDocument/2006/relationships/hyperlink" Target="https://doi.org/10.1002/2211-5463.12901" TargetMode="External" Id="rIdHyperlink28" /><Relationship Type="http://schemas.openxmlformats.org/officeDocument/2006/relationships/hyperlink" Target="https://doi.org/10.1074/jbc.M111.309633" TargetMode="External" Id="rIdHyperlink29" /><Relationship Type="http://schemas.openxmlformats.org/officeDocument/2006/relationships/hyperlink" Target="https://doi.org/10.1074/jbc.M802430200" TargetMode="External" Id="rIdHyperlink30" /><Relationship Type="http://schemas.openxmlformats.org/officeDocument/2006/relationships/hyperlink" Target="https://biomics.lab.nycu.edu.tw/dbPTM/statistics.php" TargetMode="External" Id="rIdHyperlink31" /><Relationship Type="http://schemas.openxmlformats.org/officeDocument/2006/relationships/hyperlink" Target="https://doi.org/10.1073/pnas.0708608105" TargetMode="External" Id="rIdHyperlink32" /><Relationship Type="http://schemas.openxmlformats.org/officeDocument/2006/relationships/hyperlink" Target="https://biomics.lab.nycu.edu.tw/dbPTM/statistics.php" TargetMode="External" Id="rIdHyperlink33" /><Relationship Type="http://schemas.openxmlformats.org/officeDocument/2006/relationships/hyperlink" Target="https://proteomescout.wustl.edu/" TargetMode="External" Id="rIdHyperlink34" /><Relationship Type="http://schemas.openxmlformats.org/officeDocument/2006/relationships/hyperlink" Target="https://biomics.lab.nycu.edu.tw/dbPTM/statistics.php" TargetMode="External" Id="rIdHyperlink35" /><Relationship Type="http://schemas.openxmlformats.org/officeDocument/2006/relationships/hyperlink" Target="https://biomics.lab.nycu.edu.tw/dbPTM/statistics.php" TargetMode="External" Id="rIdHyperlink36" /><Relationship Type="http://schemas.openxmlformats.org/officeDocument/2006/relationships/hyperlink" Target="https://biomics.lab.nycu.edu.tw/dbPTM/statistics.php" TargetMode="External" Id="rIdHyperlink37" /><Relationship Type="http://schemas.openxmlformats.org/officeDocument/2006/relationships/hyperlink" Target="https://biomics.lab.nycu.edu.tw/dbPTM/statistics.php" TargetMode="External" Id="rIdHyperlink38" /><Relationship Type="http://schemas.openxmlformats.org/officeDocument/2006/relationships/hyperlink" Target="https://biomics.lab.nycu.edu.tw/dbPTM/statistics.php" TargetMode="External" Id="rIdHyperlink39" /><Relationship Type="http://schemas.openxmlformats.org/officeDocument/2006/relationships/hyperlink" Target="https://pubmed.ncbi.nlm.nih.gov/3077315/" TargetMode="External" Id="rIdHyperlink40" /><Relationship Type="http://schemas.openxmlformats.org/officeDocument/2006/relationships/hyperlink" Target="https://biomics.lab.nycu.edu.tw/dbPTM/statistics.php" TargetMode="External" Id="rIdHyperlink41" /><Relationship Type="http://schemas.openxmlformats.org/officeDocument/2006/relationships/hyperlink" Target="https://ftp.uniprot.org/pub/databases/uniprot/current_release/knowledgebase/complete/docs/ptmlist.txt" TargetMode="External" Id="rIdHyperlink42" /><Relationship Type="http://schemas.openxmlformats.org/officeDocument/2006/relationships/hyperlink" Target="https://biomics.lab.nycu.edu.tw/dbPTM/statistics.php" TargetMode="External" Id="rIdHyperlink43" /><Relationship Type="http://schemas.openxmlformats.org/officeDocument/2006/relationships/hyperlink" Target="https://biomics.lab.nycu.edu.tw/dbPTM/statistics.php" TargetMode="External" Id="rIdHyperlink44" /><Relationship Type="http://schemas.openxmlformats.org/officeDocument/2006/relationships/hyperlink" Target="https://biomics.lab.nycu.edu.tw/dbPTM/statistics.php" TargetMode="External" Id="rIdHyperlink45" /><Relationship Type="http://schemas.openxmlformats.org/officeDocument/2006/relationships/hyperlink" Target="https://biomics.lab.nycu.edu.tw/dbPTM/statistics.php" TargetMode="External" Id="rIdHyperlink46" /><Relationship Type="http://schemas.openxmlformats.org/officeDocument/2006/relationships/hyperlink" Target="https://biomics.lab.nycu.edu.tw/dbPTM/statistics.php" TargetMode="External" Id="rIdHyperlink47" /><Relationship Type="http://schemas.openxmlformats.org/officeDocument/2006/relationships/hyperlink" Target="https://biomics.lab.nycu.edu.tw/dbPTM/statistics.php" TargetMode="External" Id="rIdHyperlink48" /><Relationship Type="http://schemas.openxmlformats.org/officeDocument/2006/relationships/hyperlink" Target="https://biomics.lab.nycu.edu.tw/dbPTM/statistics.php" TargetMode="External" Id="rIdHyperlink49" /><Relationship Type="http://schemas.openxmlformats.org/officeDocument/2006/relationships/hyperlink" Target="https://biomics.lab.nycu.edu.tw/dbPTM/statistics.php" TargetMode="External" Id="rIdHyperlink50" /><Relationship Type="http://schemas.openxmlformats.org/officeDocument/2006/relationships/hyperlink" Target="https://pmc.ncbi.nlm.nih.gov/articles/PMC5815371/" TargetMode="External" Id="rIdHyperlink51" /><Relationship Type="http://schemas.openxmlformats.org/officeDocument/2006/relationships/hyperlink" Target="https://doi.org/10.1038/s41586-024-07616-5" TargetMode="External" Id="rIdHyperlink52" /><Relationship Type="http://schemas.openxmlformats.org/officeDocument/2006/relationships/hyperlink" Target="https://doi.org/10.1038/s41594-025-01696-1" TargetMode="External" Id="rIdHyperlink53" /><Relationship Type="http://schemas.openxmlformats.org/officeDocument/2006/relationships/hyperlink" Target="https://doi.org/10.1038/s41586-023-05862-7" TargetMode="External" Id="rIdHyperlink54" /><Relationship Type="http://schemas.openxmlformats.org/officeDocument/2006/relationships/hyperlink" Target="https://pmc.ncbi.nlm.nih.gov/articles/PMC8834048/" TargetMode="External" Id="rIdHyperlink55" /><Relationship Type="http://schemas.openxmlformats.org/officeDocument/2006/relationships/hyperlink" Target="https://pmc.ncbi.nlm.nih.gov/articles/PMC8834048/" TargetMode="External" Id="rIdHyperlink56" /><Relationship Type="http://schemas.openxmlformats.org/officeDocument/2006/relationships/hyperlink" Target="https://biomics.lab.nycu.edu.tw/dbPTM/statistics.php" TargetMode="External" Id="rIdHyperlink57" /><Relationship Type="http://schemas.openxmlformats.org/officeDocument/2006/relationships/hyperlink" Target="https://www.uniprot.org/keywords/KW-0572" TargetMode="External" Id="rIdHyperlink58" /><Relationship Type="http://schemas.openxmlformats.org/officeDocument/2006/relationships/hyperlink" Target="https://doi.org/10.1016/j.molcel.2019.10.019" TargetMode="External" Id="rIdHyperlink59" /><Relationship Type="http://schemas.openxmlformats.org/officeDocument/2006/relationships/hyperlink" Target="https://pubmed.ncbi.nlm.nih.gov/41187061/" TargetMode="External" Id="rIdHyperlink60" /><Relationship Type="http://schemas.openxmlformats.org/officeDocument/2006/relationships/hyperlink" Target="https://biomics.lab.nycu.edu.tw/dbPTM/statistics.php" TargetMode="External" Id="rIdHyperlink61" /><Relationship Type="http://schemas.openxmlformats.org/officeDocument/2006/relationships/hyperlink" Target="https://doi.org/10.1038/s41586-023-06429-2" TargetMode="External" Id="rIdHyperlink62" /><Relationship Type="http://schemas.openxmlformats.org/officeDocument/2006/relationships/hyperlink" Target="https://www.uniprot.org/uniprotkb/D4GUF6/entry" TargetMode="External" Id="rIdHyperlink63" /><Relationship Type="http://schemas.openxmlformats.org/officeDocument/2006/relationships/hyperlink" Target="https://biomics.lab.nycu.edu.tw/dbPTM/statistics.php" TargetMode="External" Id="rIdHyperlink64" /><Relationship Type="http://schemas.openxmlformats.org/officeDocument/2006/relationships/hyperlink" Target="https://biomics.lab.nycu.edu.tw/dbPTM/statistics.php" TargetMode="External" Id="rIdHyperlink65" /><Relationship Type="http://schemas.openxmlformats.org/officeDocument/2006/relationships/hyperlink" Target="https://pmc.ncbi.nlm.nih.gov/articles/PMC8834048/" TargetMode="External" Id="rIdHyperlink66" /><Relationship Type="http://schemas.openxmlformats.org/officeDocument/2006/relationships/hyperlink" Target="https://pmc.ncbi.nlm.nih.gov/articles/PMC8834048/" TargetMode="External" Id="rIdHyperlink67" /><Relationship Type="http://schemas.openxmlformats.org/officeDocument/2006/relationships/hyperlink" Target="https://purl.obolibrary.org/obo/mod.obo" TargetMode="External" Id="rIdHyperlink68" /><Relationship Type="http://schemas.openxmlformats.org/officeDocument/2006/relationships/hyperlink" Target="https://pmc.ncbi.nlm.nih.gov/articles/PMC9881069/" TargetMode="External" Id="rIdHyperlink69" /><Relationship Type="http://schemas.openxmlformats.org/officeDocument/2006/relationships/hyperlink" Target="https://proteomescout.wustl.edu/" TargetMode="External" Id="rIdHyperlink70" /><Relationship Type="http://schemas.openxmlformats.org/officeDocument/2006/relationships/hyperlink" Target="https://biomics.lab.nycu.edu.tw/dbPTM/statistics.php" TargetMode="External" Id="rIdHyperlink71" /><Relationship Type="http://schemas.openxmlformats.org/officeDocument/2006/relationships/hyperlink" Target="https://ftp.uniprot.org/pub/databases/uniprot/current_release/knowledgebase/complete/docs/ptmlist.txt" TargetMode="External" Id="rIdHyperlink72" /><Relationship Type="http://schemas.openxmlformats.org/officeDocument/2006/relationships/hyperlink" Target="https://biomics.lab.nycu.edu.tw/dbSNO/introduction.php" TargetMode="External" Id="rIdHyperlink73" /><Relationship Type="http://schemas.openxmlformats.org/officeDocument/2006/relationships/hyperlink" Target="https://biomics.lab.nycu.edu.tw/dbPTM/statistics.php" TargetMode="External" Id="rIdHyperlink74" /><Relationship Type="http://schemas.openxmlformats.org/officeDocument/2006/relationships/hyperlink" Target="https://pubmed.ncbi.nlm.nih.gov/17906641/" TargetMode="External" Id="rIdHyperlink75" /><Relationship Type="http://schemas.openxmlformats.org/officeDocument/2006/relationships/hyperlink" Target="https://doi.org/10.1039/D1SC00660F" TargetMode="External" Id="rIdHyperlink76" /><Relationship Type="http://schemas.openxmlformats.org/officeDocument/2006/relationships/hyperlink" Target="https://biomics.lab.nycu.edu.tw/dbPTM/statistics.php" TargetMode="External" Id="rIdHyperlink77" /><Relationship Type="http://schemas.openxmlformats.org/officeDocument/2006/relationships/hyperlink" Target="https://proteomescout.wustl.edu/" TargetMode="External" Id="rIdHyperlink78" /><Relationship Type="http://schemas.openxmlformats.org/officeDocument/2006/relationships/hyperlink" Target="https://biomics.lab.nycu.edu.tw/dbPTM/statistics.php" TargetMode="External" Id="rIdHyperlink79" /><Relationship Type="http://schemas.openxmlformats.org/officeDocument/2006/relationships/hyperlink" Target="https://biomics.lab.nycu.edu.tw/dbPTM/statistics.php" TargetMode="External" Id="rIdHyperlink80" /><Relationship Type="http://schemas.openxmlformats.org/officeDocument/2006/relationships/hyperlink" Target="https://biomics.lab.nycu.edu.tw/dbPTM/statistics.php" TargetMode="External" Id="rIdHyperlink81" /><Relationship Type="http://schemas.openxmlformats.org/officeDocument/2006/relationships/hyperlink" Target="https://biomics.lab.nycu.edu.tw/dbPTM/statistics.php" TargetMode="External" Id="rIdHyperlink82" /><Relationship Type="http://schemas.openxmlformats.org/officeDocument/2006/relationships/hyperlink" Target="https://biomics.lab.nycu.edu.tw/dbPTM/statistics.php" TargetMode="External" Id="rIdHyperlink83" /><Relationship Type="http://schemas.openxmlformats.org/officeDocument/2006/relationships/hyperlink" Target="https://ftp.uniprot.org/pub/databases/uniprot/current_release/knowledgebase/complete/docs/ptmlist.txt" TargetMode="External" Id="rIdHyperlink84" /><Relationship Type="http://schemas.openxmlformats.org/officeDocument/2006/relationships/hyperlink" Target="https://doi.org/10.1038/s41589-020-00723-y" TargetMode="External" Id="rIdHyperlink85" /><Relationship Type="http://schemas.openxmlformats.org/officeDocument/2006/relationships/hyperlink" Target="https://ftp.uniprot.org/pub/databases/uniprot/current_release/knowledgebase/complete/docs/ptmlist.txt" TargetMode="External" Id="rIdHyperlink86" /><Relationship Type="http://schemas.openxmlformats.org/officeDocument/2006/relationships/hyperlink" Target="https://ftp.uniprot.org/pub/databases/uniprot/current_release/knowledgebase/complete/docs/ptmlist.txt" TargetMode="External" Id="rIdHyperlink87" /><Relationship Type="http://schemas.openxmlformats.org/officeDocument/2006/relationships/hyperlink" Target="https://biomics.lab.nycu.edu.tw/dbPTM/statistics.php" TargetMode="External" Id="rIdHyperlink88" /><Relationship Type="http://schemas.openxmlformats.org/officeDocument/2006/relationships/hyperlink" Target="https://ftp.uniprot.org/pub/databases/uniprot/current_release/knowledgebase/complete/docs/ptmlist.txt" TargetMode="External" Id="rIdHyperlink89" /><Relationship Type="http://schemas.openxmlformats.org/officeDocument/2006/relationships/hyperlink" Target="https://biomics.lab.nycu.edu.tw/dbPTM/statistics.php" TargetMode="External" Id="rIdHyperlink90" /><Relationship Type="http://schemas.openxmlformats.org/officeDocument/2006/relationships/hyperlink" Target="https://purl.obolibrary.org/obo/mod.obo" TargetMode="External" Id="rIdHyperlink91" /><Relationship Type="http://schemas.openxmlformats.org/officeDocument/2006/relationships/hyperlink" Target="https://biomics.lab.nycu.edu.tw/dbPTM/statistics.php" TargetMode="External" Id="rIdHyperlink92" /><Relationship Type="http://schemas.openxmlformats.org/officeDocument/2006/relationships/hyperlink" Target="https://purl.obolibrary.org/obo/mod.obo" TargetMode="External" Id="rIdHyperlink93" /><Relationship Type="http://schemas.openxmlformats.org/officeDocument/2006/relationships/hyperlink" Target="https://purl.obolibrary.org/obo/mod.obo" TargetMode="External" Id="rIdHyperlink94" /><Relationship Type="http://schemas.openxmlformats.org/officeDocument/2006/relationships/hyperlink" Target="https://biomics.lab.nycu.edu.tw/dbPTM/statistics.php" TargetMode="External" Id="rIdHyperlink95" /><Relationship Type="http://schemas.openxmlformats.org/officeDocument/2006/relationships/hyperlink" Target="https://doi.org/10.1016/j.cbpa.2009.06.013" TargetMode="External" Id="rIdHyperlink96" /><Relationship Type="http://schemas.openxmlformats.org/officeDocument/2006/relationships/hyperlink" Target="https://ftp.uniprot.org/pub/databases/uniprot/current_release/knowledgebase/complete/docs/ptmlist.txt" TargetMode="External" Id="rIdHyperlink97" /><Relationship Type="http://schemas.openxmlformats.org/officeDocument/2006/relationships/hyperlink" Target="https://purl.obolibrary.org/obo/mod.obo" TargetMode="External" Id="rIdHyperlink98" /><Relationship Type="http://schemas.openxmlformats.org/officeDocument/2006/relationships/hyperlink" Target="https://ftp.uniprot.org/pub/databases/uniprot/current_release/knowledgebase/complete/docs/ptmlist.txt" TargetMode="External" Id="rIdHyperlink99" /><Relationship Type="http://schemas.openxmlformats.org/officeDocument/2006/relationships/hyperlink" Target="https://biomics.lab.nycu.edu.tw/dbPTM/statistics.php" TargetMode="External" Id="rIdHyperlink100" /><Relationship Type="http://schemas.openxmlformats.org/officeDocument/2006/relationships/hyperlink" Target="https://pubs.rsc.org/en/content/articlehtml/2025/cs/d4cs00981a" TargetMode="External" Id="rIdHyperlink101" /><Relationship Type="http://schemas.openxmlformats.org/officeDocument/2006/relationships/hyperlink" Target="https://ftp.uniprot.org/pub/databases/uniprot/current_release/knowledgebase/complete/docs/ptmlist.txt" TargetMode="External" Id="rIdHyperlink102" /><Relationship Type="http://schemas.openxmlformats.org/officeDocument/2006/relationships/hyperlink" Target="https://ftp.uniprot.org/pub/databases/uniprot/current_release/knowledgebase/complete/docs/ptmlist.txt" TargetMode="External" Id="rIdHyperlink103" /><Relationship Type="http://schemas.openxmlformats.org/officeDocument/2006/relationships/hyperlink" Target="https://purl.obolibrary.org/obo/mod.obo" TargetMode="External" Id="rIdHyperlink104" /><Relationship Type="http://schemas.openxmlformats.org/officeDocument/2006/relationships/hyperlink" Target="https://biomics.lab.nycu.edu.tw/dbPTM/statistics.php" TargetMode="External" Id="rIdHyperlink105" /><Relationship Type="http://schemas.openxmlformats.org/officeDocument/2006/relationships/hyperlink" Target="https://purl.obolibrary.org/obo/mod.obo" TargetMode="External" Id="rIdHyperlink106" /><Relationship Type="http://schemas.openxmlformats.org/officeDocument/2006/relationships/hyperlink" Target="https://biomics.lab.nycu.edu.tw/dbPTM/statistics.php" TargetMode="External" Id="rIdHyperlink107" /><Relationship Type="http://schemas.openxmlformats.org/officeDocument/2006/relationships/hyperlink" Target="https://doi.org/10.1038/s41589-021-00966-5" TargetMode="External" Id="rIdHyperlink108" /><Relationship Type="http://schemas.openxmlformats.org/officeDocument/2006/relationships/hyperlink" Target="https://doi.org/10.1038/nchembio.1038" TargetMode="External" Id="rIdHyperlink109" /><Relationship Type="http://schemas.openxmlformats.org/officeDocument/2006/relationships/hyperlink" Target="https://pmc.ncbi.nlm.nih.gov/articles/PMC7135711/" TargetMode="External" Id="rIdHyperlink110" /><Relationship Type="http://schemas.openxmlformats.org/officeDocument/2006/relationships/hyperlink" Target="https://www.uniprot.org/help/post-translational_modification" TargetMode="External" Id="rIdHyperlink11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449348ff76ce430d" /><Relationship Type="http://schemas.openxmlformats.org/officeDocument/2006/relationships/hyperlink" Target="https://cplm.biocuckoo.cn/Browse.php" TargetMode="External" Id="rIdHyperlink1" /><Relationship Type="http://schemas.openxmlformats.org/officeDocument/2006/relationships/hyperlink" Target="https://cplm.biocuckoo.cn/Browse.php" TargetMode="External" Id="rIdHyperlink2" /><Relationship Type="http://schemas.openxmlformats.org/officeDocument/2006/relationships/hyperlink" Target="https://cplm.biocuckoo.cn/Browse.php" TargetMode="External" Id="rIdHyperlink3" /><Relationship Type="http://schemas.openxmlformats.org/officeDocument/2006/relationships/hyperlink" Target="https://cplm.biocuckoo.cn/Browse.php" TargetMode="External" Id="rIdHyperlink4" /><Relationship Type="http://schemas.openxmlformats.org/officeDocument/2006/relationships/hyperlink" Target="https://doi.org/10.7554/eLife.104123" TargetMode="External" Id="rIdHyperlink5" /><Relationship Type="http://schemas.openxmlformats.org/officeDocument/2006/relationships/hyperlink" Target="https://proteomescout.research.virginia.edu/downloads" TargetMode="External" Id="rIdHyperlink6" /><Relationship Type="http://schemas.openxmlformats.org/officeDocument/2006/relationships/hyperlink" Target="https://cplm.biocuckoo.cn/Browse.php" TargetMode="External" Id="rIdHyperlink7" /><Relationship Type="http://schemas.openxmlformats.org/officeDocument/2006/relationships/hyperlink" Target="https://cplm.biocuckoo.cn/Browse.php" TargetMode="External" Id="rIdHyperlink8" /><Relationship Type="http://schemas.openxmlformats.org/officeDocument/2006/relationships/hyperlink" Target="https://cplm.biocuckoo.cn/Browse.php" TargetMode="External" Id="rIdHyperlink9" /><Relationship Type="http://schemas.openxmlformats.org/officeDocument/2006/relationships/hyperlink" Target="https://cplm.biocuckoo.cn/Browse.php" TargetMode="External" Id="rIdHyperlink10" /><Relationship Type="http://schemas.openxmlformats.org/officeDocument/2006/relationships/hyperlink" Target="https://cplm.biocuckoo.cn/Browse.php" TargetMode="External" Id="rIdHyperlink11" /><Relationship Type="http://schemas.openxmlformats.org/officeDocument/2006/relationships/hyperlink" Target="https://cplm.biocuckoo.cn/Browse.php" TargetMode="External" Id="rIdHyperlink12" /><Relationship Type="http://schemas.openxmlformats.org/officeDocument/2006/relationships/hyperlink" Target="https://cplm.biocuckoo.cn/Browse.php" TargetMode="External" Id="rIdHyperlink13" /><Relationship Type="http://schemas.openxmlformats.org/officeDocument/2006/relationships/hyperlink" Target="https://proteomecentral.proteomexchange.org/cgi/GetDataset?ID=PXD050143" TargetMode="External" Id="rIdHyperlink14" /><Relationship Type="http://schemas.openxmlformats.org/officeDocument/2006/relationships/hyperlink" Target="https://pubs.acs.org/doi/10.1021/jacs.3c02332" TargetMode="External" Id="rIdHyperlink15" /><Relationship Type="http://schemas.openxmlformats.org/officeDocument/2006/relationships/hyperlink" Target="https://kladb.wuxl-group.com/" TargetMode="External" Id="rIdHyperlink16" /><Relationship Type="http://schemas.openxmlformats.org/officeDocument/2006/relationships/hyperlink" Target="https://doi.org/10.1016/j.cmet.2026.05.016" TargetMode="External" Id="rIdHyperlink17" /><Relationship Type="http://schemas.openxmlformats.org/officeDocument/2006/relationships/hyperlink" Target="https://pubmed.ncbi.nlm.nih.gov/42399660/" TargetMode="External" Id="rIdHyperlink18" /><Relationship Type="http://schemas.openxmlformats.org/officeDocument/2006/relationships/hyperlink" Target="https://cplm.biocuckoo.cn/Browse.php" TargetMode="External" Id="rIdHyperlink19" /><Relationship Type="http://schemas.openxmlformats.org/officeDocument/2006/relationships/hyperlink" Target="https://proteomecentral.proteomexchange.org/cgi/GetDataset?ID=PXD051167" TargetMode="External" Id="rIdHyperlink20" /><Relationship Type="http://schemas.openxmlformats.org/officeDocument/2006/relationships/hyperlink" Target="https://cplm.biocuckoo.cn/Browse.php" TargetMode="External" Id="rIdHyperlink21" /><Relationship Type="http://schemas.openxmlformats.org/officeDocument/2006/relationships/hyperlink" Target="https://cplm.biocuckoo.cn/Browse.php" TargetMode="External" Id="rIdHyperlink22" /><Relationship Type="http://schemas.openxmlformats.org/officeDocument/2006/relationships/hyperlink" Target="https://www.psb.ugent.be/webtools/ptm-viewer/ptm_info.php" TargetMode="External" Id="rIdHyperlink23" /><Relationship Type="http://schemas.openxmlformats.org/officeDocument/2006/relationships/hyperlink" Target="https://aps.unmc.edu/" TargetMode="External" Id="rIdHyperlink24" /><Relationship Type="http://schemas.openxmlformats.org/officeDocument/2006/relationships/hyperlink" Target="https://pmc.ncbi.nlm.nih.gov/articles/PMC12643917/" TargetMode="External" Id="rIdHyperlink25" /><Relationship Type="http://schemas.openxmlformats.org/officeDocument/2006/relationships/hyperlink" Target="https://www.psb.ugent.be/webtools/ptm-viewer/ptm_info.php" TargetMode="External" Id="rIdHyperlink26" /><Relationship Type="http://schemas.openxmlformats.org/officeDocument/2006/relationships/hyperlink" Target="https://cplm.biocuckoo.cn/Browse.php" TargetMode="External" Id="rIdHyperlink27" /><Relationship Type="http://schemas.openxmlformats.org/officeDocument/2006/relationships/hyperlink" Target="https://doi.org/10.1002/2211-5463.12901" TargetMode="External" Id="rIdHyperlink28" /><Relationship Type="http://schemas.openxmlformats.org/officeDocument/2006/relationships/hyperlink" Target="https://doi.org/10.1074/jbc.M111.309633" TargetMode="External" Id="rIdHyperlink29" /><Relationship Type="http://schemas.openxmlformats.org/officeDocument/2006/relationships/hyperlink" Target="https://www.psb.ugent.be/webtools/ptm-viewer/ptm_info.php" TargetMode="External" Id="rIdHyperlink30" /><Relationship Type="http://schemas.openxmlformats.org/officeDocument/2006/relationships/hyperlink" Target="https://www.biorxiv.org/content/10.64898/2026.07.01.733993v1" TargetMode="External" Id="rIdHyperlink31" /><Relationship Type="http://schemas.openxmlformats.org/officeDocument/2006/relationships/hyperlink" Target="https://pmc.ncbi.nlm.nih.gov/articles/PMC2538847/" TargetMode="External" Id="rIdHyperlink32" /><Relationship Type="http://schemas.openxmlformats.org/officeDocument/2006/relationships/hyperlink" Target="https://biomics.lab.nycu.edu.tw/dbPTM/statistics.php" TargetMode="External" Id="rIdHyperlink33" /><Relationship Type="http://schemas.openxmlformats.org/officeDocument/2006/relationships/hyperlink" Target="https://proteomescout.research.virginia.edu/downloads" TargetMode="External" Id="rIdHyperlink34" /><Relationship Type="http://schemas.openxmlformats.org/officeDocument/2006/relationships/hyperlink" Target="https://cplm.biocuckoo.cn/Browse.php" TargetMode="External" Id="rIdHyperlink35" /><Relationship Type="http://schemas.openxmlformats.org/officeDocument/2006/relationships/hyperlink" Target="https://epsd.biocuckoo.cn/Browse.php" TargetMode="External" Id="rIdHyperlink36" /><Relationship Type="http://schemas.openxmlformats.org/officeDocument/2006/relationships/hyperlink" Target="https://proteomecentral.proteomexchange.org/cgi/GetDataset?ID=PXD054426-1&amp;test=no" TargetMode="External" Id="rIdHyperlink37" /><Relationship Type="http://schemas.openxmlformats.org/officeDocument/2006/relationships/hyperlink" Target="https://pmc.ncbi.nlm.nih.gov/articles/PMC4256647/" TargetMode="External" Id="rIdHyperlink38" /><Relationship Type="http://schemas.openxmlformats.org/officeDocument/2006/relationships/hyperlink" Target="https://biomics.lab.nycu.edu.tw/dbPTM/statistics.php" TargetMode="External" Id="rIdHyperlink39" /><Relationship Type="http://schemas.openxmlformats.org/officeDocument/2006/relationships/hyperlink" Target="https://journals.plos.org/plosone/article?id=10.1371/journal.pone.0295279" TargetMode="External" Id="rIdHyperlink40" /><Relationship Type="http://schemas.openxmlformats.org/officeDocument/2006/relationships/hyperlink" Target="https://cplm.biocuckoo.cn/Browse.php" TargetMode="External" Id="rIdHyperlink41" /><Relationship Type="http://schemas.openxmlformats.org/officeDocument/2006/relationships/hyperlink" Target="https://pmc.ncbi.nlm.nih.gov/articles/PMC13345530/" TargetMode="External" Id="rIdHyperlink42" /><Relationship Type="http://schemas.openxmlformats.org/officeDocument/2006/relationships/hyperlink" Target="https://biomics.lab.nycu.edu.tw/dbPTM/statistics.php" TargetMode="External" Id="rIdHyperlink43" /><Relationship Type="http://schemas.openxmlformats.org/officeDocument/2006/relationships/hyperlink" Target="https://sites.google.com/view/gpi-ap-database" TargetMode="External" Id="rIdHyperlink44" /><Relationship Type="http://schemas.openxmlformats.org/officeDocument/2006/relationships/hyperlink" Target="https://biomics.lab.nycu.edu.tw/dbPTM/statistics.php" TargetMode="External" Id="rIdHyperlink45" /><Relationship Type="http://schemas.openxmlformats.org/officeDocument/2006/relationships/hyperlink" Target="https://biomics.lab.nycu.edu.tw/dbPTM/statistics.php" TargetMode="External" Id="rIdHyperlink46" /><Relationship Type="http://schemas.openxmlformats.org/officeDocument/2006/relationships/hyperlink" Target="https://mendel.imp.ac.at/PrePS/PRENbase/" TargetMode="External" Id="rIdHyperlink47" /><Relationship Type="http://schemas.openxmlformats.org/officeDocument/2006/relationships/hyperlink" Target="https://biomics.lab.nycu.edu.tw/dbSNO/statistics.php" TargetMode="External" Id="rIdHyperlink48" /><Relationship Type="http://schemas.openxmlformats.org/officeDocument/2006/relationships/hyperlink" Target="https://biomics.lab.nycu.edu.tw/dbPTM/statistics.php" TargetMode="External" Id="rIdHyperlink49" /><Relationship Type="http://schemas.openxmlformats.org/officeDocument/2006/relationships/hyperlink" Target="https://www.mrc-lmb.cam.ac.uk/genomes/dolop/list.shtml" TargetMode="External" Id="rIdHyperlink50" /><Relationship Type="http://schemas.openxmlformats.org/officeDocument/2006/relationships/hyperlink" Target="https://pmc.ncbi.nlm.nih.gov/articles/PMC3596133/" TargetMode="External" Id="rIdHyperlink51" /><Relationship Type="http://schemas.openxmlformats.org/officeDocument/2006/relationships/hyperlink" Target="https://doi.org/10.1038/s41586-024-07616-5" TargetMode="External" Id="rIdHyperlink52" /><Relationship Type="http://schemas.openxmlformats.org/officeDocument/2006/relationships/hyperlink" Target="https://doi.org/10.1038/s41594-025-01696-1" TargetMode="External" Id="rIdHyperlink53" /><Relationship Type="http://schemas.openxmlformats.org/officeDocument/2006/relationships/hyperlink" Target="https://doi.org/10.1038/s41586-023-05862-7" TargetMode="External" Id="rIdHyperlink54" /><Relationship Type="http://schemas.openxmlformats.org/officeDocument/2006/relationships/hyperlink" Target="https://pmc.ncbi.nlm.nih.gov/articles/PMC5815371/" TargetMode="External" Id="rIdHyperlink55" /><Relationship Type="http://schemas.openxmlformats.org/officeDocument/2006/relationships/hyperlink" Target="https://pmc.ncbi.nlm.nih.gov/articles/PMC8834048/" TargetMode="External" Id="rIdHyperlink56" /><Relationship Type="http://schemas.openxmlformats.org/officeDocument/2006/relationships/hyperlink" Target="https://proteomecentral.proteomexchange.org/cgi/GetDataset?ID=PXD022812" TargetMode="External" Id="rIdHyperlink57" /><Relationship Type="http://schemas.openxmlformats.org/officeDocument/2006/relationships/hyperlink" Target="https://prosite.expasy.org/PDOC00373" TargetMode="External" Id="rIdHyperlink58" /><Relationship Type="http://schemas.openxmlformats.org/officeDocument/2006/relationships/hyperlink" Target="https://doi.org/10.1016/j.molcel.2019.10.019" TargetMode="External" Id="rIdHyperlink59" /><Relationship Type="http://schemas.openxmlformats.org/officeDocument/2006/relationships/hyperlink" Target="https://pubmed.ncbi.nlm.nih.gov/41187061/" TargetMode="External" Id="rIdHyperlink60" /><Relationship Type="http://schemas.openxmlformats.org/officeDocument/2006/relationships/hyperlink" Target="https://cplm.biocuckoo.cn/Browse.php" TargetMode="External" Id="rIdHyperlink61" /><Relationship Type="http://schemas.openxmlformats.org/officeDocument/2006/relationships/hyperlink" Target="https://doi.org/10.1038/s41586-023-06429-2" TargetMode="External" Id="rIdHyperlink62" /><Relationship Type="http://schemas.openxmlformats.org/officeDocument/2006/relationships/hyperlink" Target="https://pmc.ncbi.nlm.nih.gov/articles/PMC2872088/" TargetMode="External" Id="rIdHyperlink63" /><Relationship Type="http://schemas.openxmlformats.org/officeDocument/2006/relationships/hyperlink" Target="https://www.sciencedirect.com/science/article/pii/S1535947626000678" TargetMode="External" Id="rIdHyperlink64" /><Relationship Type="http://schemas.openxmlformats.org/officeDocument/2006/relationships/hyperlink" Target="https://www.proteomexchange.org/ptmexchange/Files/Human_GSB_Ubiq_all_prots_1106.csv.gz" TargetMode="External" Id="rIdHyperlink65" /><Relationship Type="http://schemas.openxmlformats.org/officeDocument/2006/relationships/hyperlink" Target="https://pmc.ncbi.nlm.nih.gov/articles/PMC10648299/" TargetMode="External" Id="rIdHyperlink66" /><Relationship Type="http://schemas.openxmlformats.org/officeDocument/2006/relationships/hyperlink" Target="https://pmc.ncbi.nlm.nih.gov/articles/PMC5815371/" TargetMode="External" Id="rIdHyperlink67" /><Relationship Type="http://schemas.openxmlformats.org/officeDocument/2006/relationships/hyperlink" Target="https://www.psb.ugent.be/webtools/ptm-viewer/ptm_info.php" TargetMode="External" Id="rIdHyperlink68" /><Relationship Type="http://schemas.openxmlformats.org/officeDocument/2006/relationships/hyperlink" Target="https://pmc.ncbi.nlm.nih.gov/articles/PMC9881069/" TargetMode="External" Id="rIdHyperlink69" /><Relationship Type="http://schemas.openxmlformats.org/officeDocument/2006/relationships/hyperlink" Target="https://proteomescout.research.virginia.edu/downloads" TargetMode="External" Id="rIdHyperlink70" /><Relationship Type="http://schemas.openxmlformats.org/officeDocument/2006/relationships/hyperlink" Target="https://www.deepnitro.renlab.org/help.html" TargetMode="External" Id="rIdHyperlink71" /><Relationship Type="http://schemas.openxmlformats.org/officeDocument/2006/relationships/hyperlink" Target="https://biomics.lab.nycu.edu.tw/dbPTM/download.php" TargetMode="External" Id="rIdHyperlink72" /><Relationship Type="http://schemas.openxmlformats.org/officeDocument/2006/relationships/hyperlink" Target="https://biomics.lab.nycu.edu.tw/dbSNO/statistics.php" TargetMode="External" Id="rIdHyperlink73" /><Relationship Type="http://schemas.openxmlformats.org/officeDocument/2006/relationships/hyperlink" Target="https://metosite.uma.es/api/summaries/count" TargetMode="External" Id="rIdHyperlink74" /><Relationship Type="http://schemas.openxmlformats.org/officeDocument/2006/relationships/hyperlink" Target="https://proteomescout.research.virginia.edu/downloads" TargetMode="External" Id="rIdHyperlink75" /><Relationship Type="http://schemas.openxmlformats.org/officeDocument/2006/relationships/hyperlink" Target="https://pmc.ncbi.nlm.nih.gov/articles/PMC9677505/" TargetMode="External" Id="rIdHyperlink76" /><Relationship Type="http://schemas.openxmlformats.org/officeDocument/2006/relationships/hyperlink" Target="https://biomics.lab.nycu.edu.tw/dbSNO/statistics.php" TargetMode="External" Id="rIdHyperlink77" /><Relationship Type="http://schemas.openxmlformats.org/officeDocument/2006/relationships/hyperlink" Target="https://proteomescout.research.virginia.edu/downloads" TargetMode="External" Id="rIdHyperlink78" /><Relationship Type="http://schemas.openxmlformats.org/officeDocument/2006/relationships/hyperlink" Target="https://biomics.lab.nycu.edu.tw/dbSNO/statistics.php" TargetMode="External" Id="rIdHyperlink79" /><Relationship Type="http://schemas.openxmlformats.org/officeDocument/2006/relationships/hyperlink" Target="https://www.nature.com/articles/s41594-024-01214-9" TargetMode="External" Id="rIdHyperlink80" /><Relationship Type="http://schemas.openxmlformats.org/officeDocument/2006/relationships/hyperlink" Target="https://biomics.lab.nycu.edu.tw/dbPTM/statistics.php" TargetMode="External" Id="rIdHyperlink81" /><Relationship Type="http://schemas.openxmlformats.org/officeDocument/2006/relationships/hyperlink" Target="https://biomics.lab.nycu.edu.tw/dbPTM/statistics.php" TargetMode="External" Id="rIdHyperlink82" /><Relationship Type="http://schemas.openxmlformats.org/officeDocument/2006/relationships/hyperlink" Target="https://biomics.lab.nycu.edu.tw/dbPTM/statistics.php" TargetMode="External" Id="rIdHyperlink83" /><Relationship Type="http://schemas.openxmlformats.org/officeDocument/2006/relationships/hyperlink" Target="https://proteomescout.research.virginia.edu/downloads" TargetMode="External" Id="rIdHyperlink84" /><Relationship Type="http://schemas.openxmlformats.org/officeDocument/2006/relationships/hyperlink" Target="https://doi.org/10.1021/cb500897w" TargetMode="External" Id="rIdHyperlink85" /><Relationship Type="http://schemas.openxmlformats.org/officeDocument/2006/relationships/hyperlink" Target="https://proteomescout.research.virginia.edu/downloads" TargetMode="External" Id="rIdHyperlink86" /><Relationship Type="http://schemas.openxmlformats.org/officeDocument/2006/relationships/hyperlink" Target="https://proteomescout.research.virginia.edu/downloads" TargetMode="External" Id="rIdHyperlink87" /><Relationship Type="http://schemas.openxmlformats.org/officeDocument/2006/relationships/hyperlink" Target="https://pmc.ncbi.nlm.nih.gov/articles/PMC9455854/" TargetMode="External" Id="rIdHyperlink88" /><Relationship Type="http://schemas.openxmlformats.org/officeDocument/2006/relationships/hyperlink" Target="https://proteomescout.research.virginia.edu/downloads" TargetMode="External" Id="rIdHyperlink89" /><Relationship Type="http://schemas.openxmlformats.org/officeDocument/2006/relationships/hyperlink" Target="https://biomics.lab.nycu.edu.tw/dbPTM/statistics.php" TargetMode="External" Id="rIdHyperlink90" /><Relationship Type="http://schemas.openxmlformats.org/officeDocument/2006/relationships/hyperlink" Target="https://ezcatdb.cbrc.pj.aist.go.jp/EzCatDB/Compound/data/C03306.html" TargetMode="External" Id="rIdHyperlink91" /><Relationship Type="http://schemas.openxmlformats.org/officeDocument/2006/relationships/hyperlink" Target="https://cplm.biocuckoo.cn/Browse.php" TargetMode="External" Id="rIdHyperlink92" /><Relationship Type="http://schemas.openxmlformats.org/officeDocument/2006/relationships/hyperlink" Target="https://pydish.bio.info.hiroshima-cu.ac.jp/data/" TargetMode="External" Id="rIdHyperlink93" /><Relationship Type="http://schemas.openxmlformats.org/officeDocument/2006/relationships/hyperlink" Target="https://proteomescout.research.virginia.edu/downloads" TargetMode="External" Id="rIdHyperlink94" /><Relationship Type="http://schemas.openxmlformats.org/officeDocument/2006/relationships/hyperlink" Target="https://cplm.biocuckoo.cn/Browse.php" TargetMode="External" Id="rIdHyperlink95" /><Relationship Type="http://schemas.openxmlformats.org/officeDocument/2006/relationships/hyperlink" Target="https://doi.org/10.1016/j.cbpa.2009.06.013" TargetMode="External" Id="rIdHyperlink96" /><Relationship Type="http://schemas.openxmlformats.org/officeDocument/2006/relationships/hyperlink" Target="https://proteomescout.research.virginia.edu/downloads" TargetMode="External" Id="rIdHyperlink97" /><Relationship Type="http://schemas.openxmlformats.org/officeDocument/2006/relationships/hyperlink" Target="https://www.fpbase.org/" TargetMode="External" Id="rIdHyperlink98" /><Relationship Type="http://schemas.openxmlformats.org/officeDocument/2006/relationships/hyperlink" Target="https://proteomescout.research.virginia.edu/downloads" TargetMode="External" Id="rIdHyperlink99" /><Relationship Type="http://schemas.openxmlformats.org/officeDocument/2006/relationships/hyperlink" Target="https://biomics.lab.nycu.edu.tw/dbPTM/statistics.php" TargetMode="External" Id="rIdHyperlink100" /><Relationship Type="http://schemas.openxmlformats.org/officeDocument/2006/relationships/hyperlink" Target="https://proteomescout.research.virginia.edu/downloads" TargetMode="External" Id="rIdHyperlink101" /><Relationship Type="http://schemas.openxmlformats.org/officeDocument/2006/relationships/hyperlink" Target="https://proteomescout.research.virginia.edu/downloads" TargetMode="External" Id="rIdHyperlink102" /><Relationship Type="http://schemas.openxmlformats.org/officeDocument/2006/relationships/hyperlink" Target="https://biomics.lab.nycu.edu.tw/dbPTM/statistics.php" TargetMode="External" Id="rIdHyperlink103" /><Relationship Type="http://schemas.openxmlformats.org/officeDocument/2006/relationships/hyperlink" Target="https://lantibase.weebly.com/" TargetMode="External" Id="rIdHyperlink104" /><Relationship Type="http://schemas.openxmlformats.org/officeDocument/2006/relationships/hyperlink" Target="https://biomics.lab.nycu.edu.tw/dbSNO/statistics.php" TargetMode="External" Id="rIdHyperlink105" /><Relationship Type="http://schemas.openxmlformats.org/officeDocument/2006/relationships/hyperlink" Target="https://pmc.ncbi.nlm.nih.gov/articles/PMC10135038/" TargetMode="External" Id="rIdHyperlink106" /><Relationship Type="http://schemas.openxmlformats.org/officeDocument/2006/relationships/hyperlink" Target="https://pmc.ncbi.nlm.nih.gov/articles/PMC11919812/" TargetMode="External" Id="rIdHyperlink107" /><Relationship Type="http://schemas.openxmlformats.org/officeDocument/2006/relationships/hyperlink" Target="https://pmc.ncbi.nlm.nih.gov/articles/PMC8964421/" TargetMode="External" Id="rIdHyperlink108" /><Relationship Type="http://schemas.openxmlformats.org/officeDocument/2006/relationships/hyperlink" Target="https://reactome.org/content/schema/instance/browser/9926832" TargetMode="External" Id="rIdHyperlink109" /><Relationship Type="http://schemas.openxmlformats.org/officeDocument/2006/relationships/hyperlink" Target="https://inbase.ligsciss.com/index.php?r=site%2Findex" TargetMode="External" Id="rIdHyperlink110" /><Relationship Type="http://schemas.openxmlformats.org/officeDocument/2006/relationships/hyperlink" Target="https://www.caspsites.org/about/" TargetMode="External" Id="rIdHyperlink11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da0e0a14da1b4ff9" /><Relationship Type="http://schemas.openxmlformats.org/officeDocument/2006/relationships/hyperlink" Target="https://epsd.biocuckoo.cn/Browse.php" TargetMode="External" Id="rIdHyperlink1" /><Relationship Type="http://schemas.openxmlformats.org/officeDocument/2006/relationships/hyperlink" Target="https://pmc.ncbi.nlm.nih.gov/articles/PMC12448286/" TargetMode="External" Id="rIdHyperlink2" /><Relationship Type="http://schemas.openxmlformats.org/officeDocument/2006/relationships/hyperlink" Target="https://dbpsp.biocuckoo.cn/" TargetMode="External" Id="rIdHyperlink3" /><Relationship Type="http://schemas.openxmlformats.org/officeDocument/2006/relationships/hyperlink" Target="https://biocuckoo.cn/pub/dbPSP_2.0.pdf" TargetMode="External" Id="rIdHyperlink4" /><Relationship Type="http://schemas.openxmlformats.org/officeDocument/2006/relationships/hyperlink" Target="https://cplm.biocuckoo.cn/Browse.php" TargetMode="External" Id="rIdHyperlink5" /><Relationship Type="http://schemas.openxmlformats.org/officeDocument/2006/relationships/hyperlink" Target="https://pmc.ncbi.nlm.nih.gov/articles/PMC8728254/" TargetMode="External" Id="rIdHyperlink6" /><Relationship Type="http://schemas.openxmlformats.org/officeDocument/2006/relationships/hyperlink" Target="https://kladb.wuxl-group.com/" TargetMode="External" Id="rIdHyperlink7" /><Relationship Type="http://schemas.openxmlformats.org/officeDocument/2006/relationships/hyperlink" Target="https://kladb.wuxl-group.com/" TargetMode="External" Id="rIdHyperlink8" /><Relationship Type="http://schemas.openxmlformats.org/officeDocument/2006/relationships/hyperlink" Target="https://shiny.bioserver.ieo.it/app/prometheusdb" TargetMode="External" Id="rIdHyperlink9" /><Relationship Type="http://schemas.openxmlformats.org/officeDocument/2006/relationships/hyperlink" Target="https://pmc.ncbi.nlm.nih.gov/articles/PMC9207298/" TargetMode="External" Id="rIdHyperlink10" /><Relationship Type="http://schemas.openxmlformats.org/officeDocument/2006/relationships/hyperlink" Target="https://www.proteomexchange.org/ptmexchange/index.html" TargetMode="External" Id="rIdHyperlink11" /><Relationship Type="http://schemas.openxmlformats.org/officeDocument/2006/relationships/hyperlink" Target="https://www.biorxiv.org/content/10.64898/2026.07.01.733993v1" TargetMode="External" Id="rIdHyperlink12" /><Relationship Type="http://schemas.openxmlformats.org/officeDocument/2006/relationships/hyperlink" Target="https://adpribodb.adpribodb.org/iframe-search.html" TargetMode="External" Id="rIdHyperlink13" /><Relationship Type="http://schemas.openxmlformats.org/officeDocument/2006/relationships/hyperlink" Target="https://pmc.ncbi.nlm.nih.gov/articles/PMC7523110/" TargetMode="External" Id="rIdHyperlink14" /><Relationship Type="http://schemas.openxmlformats.org/officeDocument/2006/relationships/hyperlink" Target="http://tsp.biocuckoo.org/database.php" TargetMode="External" Id="rIdHyperlink15" /><Relationship Type="http://schemas.openxmlformats.org/officeDocument/2006/relationships/hyperlink" Target="https://pmc.ncbi.nlm.nih.gov/articles/PMC4256647/" TargetMode="External" Id="rIdHyperlink16" /><Relationship Type="http://schemas.openxmlformats.org/officeDocument/2006/relationships/hyperlink" Target="https://www.HypDB.site/" TargetMode="External" Id="rIdHyperlink17" /><Relationship Type="http://schemas.openxmlformats.org/officeDocument/2006/relationships/hyperlink" Target="https://pmc.ncbi.nlm.nih.gov/articles/PMC9455854/" TargetMode="External" Id="rIdHyperlink18" /><Relationship Type="http://schemas.openxmlformats.org/officeDocument/2006/relationships/hyperlink" Target="https://www.nature.com/articles/s41594-024-01214-9" TargetMode="External" Id="rIdHyperlink19" /><Relationship Type="http://schemas.openxmlformats.org/officeDocument/2006/relationships/hyperlink" Target="https://biomics.lab.nycu.edu.tw/dbSNO/introduction.php" TargetMode="External" Id="rIdHyperlink20" /><Relationship Type="http://schemas.openxmlformats.org/officeDocument/2006/relationships/hyperlink" Target="https://biomics.lab.nycu.edu.tw/dbSNO/statistics.php" TargetMode="External" Id="rIdHyperlink21" /><Relationship Type="http://schemas.openxmlformats.org/officeDocument/2006/relationships/hyperlink" Target="https://metosite.uma.es/" TargetMode="External" Id="rIdHyperlink22" /><Relationship Type="http://schemas.openxmlformats.org/officeDocument/2006/relationships/hyperlink" Target="https://metosite.uma.es/api/summaries/count" TargetMode="External" Id="rIdHyperlink23" /><Relationship Type="http://schemas.openxmlformats.org/officeDocument/2006/relationships/hyperlink" Target="https://carbonyldb.missouri.edu/CarbonylDB/index.php/search" TargetMode="External" Id="rIdHyperlink24" /><Relationship Type="http://schemas.openxmlformats.org/officeDocument/2006/relationships/hyperlink" Target="https://pmc.ncbi.nlm.nih.gov/articles/PMC6041944/" TargetMode="External" Id="rIdHyperlink25" /><Relationship Type="http://schemas.openxmlformats.org/officeDocument/2006/relationships/hyperlink" Target="http://icysmod.omicsbio.info/" TargetMode="External" Id="rIdHyperlink26" /><Relationship Type="http://schemas.openxmlformats.org/officeDocument/2006/relationships/hyperlink" Target="https://academic.oup.com/bib/article/22/5/bbaa400/6066620" TargetMode="External" Id="rIdHyperlink27" /><Relationship Type="http://schemas.openxmlformats.org/officeDocument/2006/relationships/hyperlink" Target="http://cysmoddb.bioinfogo.org/" TargetMode="External" Id="rIdHyperlink28" /><Relationship Type="http://schemas.openxmlformats.org/officeDocument/2006/relationships/hyperlink" Target="https://pmc.ncbi.nlm.nih.gov/articles/PMC9677505/" TargetMode="External" Id="rIdHyperlink29" /><Relationship Type="http://schemas.openxmlformats.org/officeDocument/2006/relationships/hyperlink" Target="https://cysdbase.bits-hyderabad.ac.in/" TargetMode="External" Id="rIdHyperlink30" /><Relationship Type="http://schemas.openxmlformats.org/officeDocument/2006/relationships/hyperlink" Target="https://pmc.ncbi.nlm.nih.gov/articles/PMC13161762/" TargetMode="External" Id="rIdHyperlink31" /><Relationship Type="http://schemas.openxmlformats.org/officeDocument/2006/relationships/hyperlink" Target="https://pmc.ncbi.nlm.nih.gov/articles/PMC10510411/" TargetMode="External" Id="rIdHyperlink32" /><Relationship Type="http://schemas.openxmlformats.org/officeDocument/2006/relationships/hyperlink" Target="https://www.glygen.org/" TargetMode="External" Id="rIdHyperlink33" /><Relationship Type="http://schemas.openxmlformats.org/officeDocument/2006/relationships/hyperlink" Target="https://pmc.ncbi.nlm.nih.gov/articles/PMC13345530/" TargetMode="External" Id="rIdHyperlink34" /><Relationship Type="http://schemas.openxmlformats.org/officeDocument/2006/relationships/hyperlink" Target="https://oglcnac.org/atlas/" TargetMode="External" Id="rIdHyperlink35" /><Relationship Type="http://schemas.openxmlformats.org/officeDocument/2006/relationships/hyperlink" Target="https://oglcnac.org/static/data/atlas-release-v1.json" TargetMode="External" Id="rIdHyperlink36" /><Relationship Type="http://schemas.openxmlformats.org/officeDocument/2006/relationships/hyperlink" Target="https://www.oglcnac.mcw.edu/" TargetMode="External" Id="rIdHyperlink37" /><Relationship Type="http://schemas.openxmlformats.org/officeDocument/2006/relationships/hyperlink" Target="https://pmc.ncbi.nlm.nih.gov/articles/PMC12105936/" TargetMode="External" Id="rIdHyperlink38" /><Relationship Type="http://schemas.openxmlformats.org/officeDocument/2006/relationships/hyperlink" Target="https://glyconnect.expasy.org/" TargetMode="External" Id="rIdHyperlink39" /><Relationship Type="http://schemas.openxmlformats.org/officeDocument/2006/relationships/hyperlink" Target="https://glyconnect.expasy.org/browser/" TargetMode="External" Id="rIdHyperlink40" /><Relationship Type="http://schemas.openxmlformats.org/officeDocument/2006/relationships/hyperlink" Target="https://www.proglycprot.org/" TargetMode="External" Id="rIdHyperlink41" /><Relationship Type="http://schemas.openxmlformats.org/officeDocument/2006/relationships/hyperlink" Target="https://www.proglycprot.org/" TargetMode="External" Id="rIdHyperlink42" /><Relationship Type="http://schemas.openxmlformats.org/officeDocument/2006/relationships/hyperlink" Target="https://pmc.ncbi.nlm.nih.gov/articles/PMC3083348/" TargetMode="External" Id="rIdHyperlink43" /><Relationship Type="http://schemas.openxmlformats.org/officeDocument/2006/relationships/hyperlink" Target="https://www.sciencedirect.com/science/article/pii/S0006349501760742" TargetMode="External" Id="rIdHyperlink44" /><Relationship Type="http://schemas.openxmlformats.org/officeDocument/2006/relationships/hyperlink" Target="https://swisspalm.org/" TargetMode="External" Id="rIdHyperlink45" /><Relationship Type="http://schemas.openxmlformats.org/officeDocument/2006/relationships/hyperlink" Target="https://pmc.ncbi.nlm.nih.gov/articles/PMC4544385/" TargetMode="External" Id="rIdHyperlink46" /><Relationship Type="http://schemas.openxmlformats.org/officeDocument/2006/relationships/hyperlink" Target="https://mendel.imp.ac.at/PrePS/PRENbase/" TargetMode="External" Id="rIdHyperlink47" /><Relationship Type="http://schemas.openxmlformats.org/officeDocument/2006/relationships/hyperlink" Target="https://pmc.ncbi.nlm.nih.gov/articles/PMC1847700/" TargetMode="External" Id="rIdHyperlink48" /><Relationship Type="http://schemas.openxmlformats.org/officeDocument/2006/relationships/hyperlink" Target="https://mendel.imp.ac.at/myristate/myrbase/" TargetMode="External" Id="rIdHyperlink49" /><Relationship Type="http://schemas.openxmlformats.org/officeDocument/2006/relationships/hyperlink" Target="https://pmc.ncbi.nlm.nih.gov/articles/PMC395771/" TargetMode="External" Id="rIdHyperlink50" /><Relationship Type="http://schemas.openxmlformats.org/officeDocument/2006/relationships/hyperlink" Target="https://sites.google.com/view/gpi-ap-database" TargetMode="External" Id="rIdHyperlink51" /><Relationship Type="http://schemas.openxmlformats.org/officeDocument/2006/relationships/hyperlink" Target="https://sites.google.com/view/gpi-ap-database" TargetMode="External" Id="rIdHyperlink52" /><Relationship Type="http://schemas.openxmlformats.org/officeDocument/2006/relationships/hyperlink" Target="https://prix.hanyang.ac.kr/strucptm/" TargetMode="External" Id="rIdHyperlink53" /><Relationship Type="http://schemas.openxmlformats.org/officeDocument/2006/relationships/hyperlink" Target="https://prix.hanyang.ac.kr/strucptm/api/stats_overview" TargetMode="External" Id="rIdHyperlink54" /><Relationship Type="http://schemas.openxmlformats.org/officeDocument/2006/relationships/hyperlink" Target="https://www.dsimb.inserm.fr/PTM-SD/" TargetMode="External" Id="rIdHyperlink55" /><Relationship Type="http://schemas.openxmlformats.org/officeDocument/2006/relationships/hyperlink" Target="https://pmc.ncbi.nlm.nih.gov/articles/PMC4038255/" TargetMode="External" Id="rIdHyperlink56" /><Relationship Type="http://schemas.openxmlformats.org/officeDocument/2006/relationships/hyperlink" Target="http://prismoid.erc.monash.edu/" TargetMode="External" Id="rIdHyperlink57" /><Relationship Type="http://schemas.openxmlformats.org/officeDocument/2006/relationships/hyperlink" Target="https://pmc.ncbi.nlm.nih.gov/articles/PMC7299293/" TargetMode="External" Id="rIdHyperlink58" /><Relationship Type="http://schemas.openxmlformats.org/officeDocument/2006/relationships/hyperlink" Target="https://ptmint.sjtu.edu.cn/" TargetMode="External" Id="rIdHyperlink59" /><Relationship Type="http://schemas.openxmlformats.org/officeDocument/2006/relationships/hyperlink" Target="https://pmc.ncbi.nlm.nih.gov/articles/PMC9848059/" TargetMode="External" Id="rIdHyperlink60" /><Relationship Type="http://schemas.openxmlformats.org/officeDocument/2006/relationships/hyperlink" Target="https://ptmd.biocuckoo.cn/" TargetMode="External" Id="rIdHyperlink61" /><Relationship Type="http://schemas.openxmlformats.org/officeDocument/2006/relationships/hyperlink" Target="https://pmc.ncbi.nlm.nih.gov/articles/PMC11701619/" TargetMode="External" Id="rIdHyperlink62" /><Relationship Type="http://schemas.openxmlformats.org/officeDocument/2006/relationships/hyperlink" Target="https://pmads.org/" TargetMode="External" Id="rIdHyperlink63" /><Relationship Type="http://schemas.openxmlformats.org/officeDocument/2006/relationships/hyperlink" Target="https://academic.oup.com/nar/article/54/D1/D1569/8287589" TargetMode="External" Id="rIdHyperlink64" /><Relationship Type="http://schemas.openxmlformats.org/officeDocument/2006/relationships/hyperlink" Target="https://www.proteomexchange.org/ptmexchange/index.html" TargetMode="External" Id="rIdHyperlink65" /><Relationship Type="http://schemas.openxmlformats.org/officeDocument/2006/relationships/hyperlink" Target="https://www.proteomexchange.org/ptmexchange/index.html" TargetMode="External" Id="rIdHyperlink66" /><Relationship Type="http://schemas.openxmlformats.org/officeDocument/2006/relationships/hyperlink" Target="https://www.biw.kuleuven.be/m2s/cmpg/research/CSB/tools/flams/help" TargetMode="External" Id="rIdHyperlink67" /><Relationship Type="http://schemas.openxmlformats.org/officeDocument/2006/relationships/hyperlink" Target="https://www.biw.kuleuven.be/m2s/cmpg/research/CSB/tools/flams/help" TargetMode="External" Id="rIdHyperlink68" /><Relationship Type="http://schemas.openxmlformats.org/officeDocument/2006/relationships/hyperlink" Target="https://pmc.ncbi.nlm.nih.gov/articles/PMC11223847/" TargetMode="External" Id="rIdHyperlink69" /><Relationship Type="http://schemas.openxmlformats.org/officeDocument/2006/relationships/hyperlink" Target="https://pmc.ncbi.nlm.nih.gov/articles/PMC3894998/" TargetMode="External" Id="rIdHyperlink70" /><Relationship Type="http://schemas.openxmlformats.org/officeDocument/2006/relationships/hyperlink" Target="https://pmc.ncbi.nlm.nih.gov/articles/PMC1855352/" TargetMode="External" Id="rIdHyperlink71" /><Relationship Type="http://schemas.openxmlformats.org/officeDocument/2006/relationships/hyperlink" Target="https://pmc.ncbi.nlm.nih.gov/articles/PMC3314583/" TargetMode="External" Id="rIdHyperlink72" /><Relationship Type="http://schemas.openxmlformats.org/officeDocument/2006/relationships/hyperlink" Target="https://academic.oup.com/nar/article/46/D1/D447/4584638" TargetMode="External" Id="rIdHyperlink73" /><Relationship Type="http://schemas.openxmlformats.org/officeDocument/2006/relationships/hyperlink" Target="https://www.deepnitro.renlab.org/help.html" TargetMode="External" Id="rIdHyperlink74" /><Relationship Type="http://schemas.openxmlformats.org/officeDocument/2006/relationships/hyperlink" Target="https://pmc.ncbi.nlm.nih.gov/articles/PMC6205083/" TargetMode="External" Id="rIdHyperlink75" /><Relationship Type="http://schemas.openxmlformats.org/officeDocument/2006/relationships/hyperlink" Target="https://academic.oup.com/bioinformatics/article/30/16/2386/2748231" TargetMode="External" Id="rIdHyperlink76" /><Relationship Type="http://schemas.openxmlformats.org/officeDocument/2006/relationships/hyperlink" Target="https://academic.oup.com/bioinformatics/article/28/19/2551/289097" TargetMode="External" Id="rIdHyperlink77" /><Relationship Type="http://schemas.openxmlformats.org/officeDocument/2006/relationships/hyperlink" Target="https://services.healthtech.dtu.dk/datasets/GlycateBase-1.0/" TargetMode="External" Id="rIdHyperlink78" /><Relationship Type="http://schemas.openxmlformats.org/officeDocument/2006/relationships/hyperlink" Target="https://services.healthtech.dtu.dk/datasets/GlycateBase-1.0/" TargetMode="External" Id="rIdHyperlink79" /><Relationship Type="http://schemas.openxmlformats.org/officeDocument/2006/relationships/hyperlink" Target="https://proteomecentral.proteomexchange.org/cgi/GetDataset?ID=PXD022812" TargetMode="External" Id="rIdHyperlink80" /><Relationship Type="http://schemas.openxmlformats.org/officeDocument/2006/relationships/hyperlink" Target="https://proteomecentral.proteomexchange.org/cgi/GetDataset?ID=PXD022812" TargetMode="External" Id="rIdHyperlink81" /><Relationship Type="http://schemas.openxmlformats.org/officeDocument/2006/relationships/hyperlink" Target="https://academic.oup.com/database/article/doi/10.1093/database/bav039/2433171" TargetMode="External" Id="rIdHyperlink82" /><Relationship Type="http://schemas.openxmlformats.org/officeDocument/2006/relationships/hyperlink" Target="https://biomics.lab.nycu.edu.tw/dbPTM/" TargetMode="External" Id="rIdHyperlink83" /><Relationship Type="http://schemas.openxmlformats.org/officeDocument/2006/relationships/hyperlink" Target="https://pmc.ncbi.nlm.nih.gov/articles/PMC11701562/" TargetMode="External" Id="rIdHyperlink84" /><Relationship Type="http://schemas.openxmlformats.org/officeDocument/2006/relationships/hyperlink" Target="https://www.arginylation.com/" TargetMode="External" Id="rIdHyperlink85" /><Relationship Type="http://schemas.openxmlformats.org/officeDocument/2006/relationships/hyperlink" Target="https://pmc.ncbi.nlm.nih.gov/articles/PMC12643917/" TargetMode="External" Id="rIdHyperlink86" /><Relationship Type="http://schemas.openxmlformats.org/officeDocument/2006/relationships/hyperlink" Target="https://www.caspsites.org/about/" TargetMode="External" Id="rIdHyperlink87" /><Relationship Type="http://schemas.openxmlformats.org/officeDocument/2006/relationships/hyperlink" Target="https://www.caspsites.org/about/" TargetMode="External" Id="rIdHyperlink88" /><Relationship Type="http://schemas.openxmlformats.org/officeDocument/2006/relationships/hyperlink" Target="https://www.ebi.ac.uk/merops/whatsnew.shtml" TargetMode="External" Id="rIdHyperlink89" /><Relationship Type="http://schemas.openxmlformats.org/officeDocument/2006/relationships/hyperlink" Target="https://www.ebi.ac.uk/merops/cgi-bin/substrate_count?action=G" TargetMode="External" Id="rIdHyperlink90" /><Relationship Type="http://schemas.openxmlformats.org/officeDocument/2006/relationships/hyperlink" Target="https://pmc.ncbi.nlm.nih.gov/articles/PMC3926948/" TargetMode="External" Id="rIdHyperlink91" /><Relationship Type="http://schemas.openxmlformats.org/officeDocument/2006/relationships/hyperlink" Target="https://pmc.ncbi.nlm.nih.gov/articles/PMC2242420/" TargetMode="External" Id="rIdHyperlink92" /><Relationship Type="http://schemas.openxmlformats.org/officeDocument/2006/relationships/hyperlink" Target="https://pmc.ncbi.nlm.nih.gov/articles/PMC9216586/" TargetMode="External" Id="rIdHyperlink93" /><Relationship Type="http://schemas.openxmlformats.org/officeDocument/2006/relationships/hyperlink" Target="https://inbase.ligsciss.com/index.php?r=site%2Findex" TargetMode="External" Id="rIdHyperlink94" /><Relationship Type="http://schemas.openxmlformats.org/officeDocument/2006/relationships/hyperlink" Target="https://inbase.ligsciss.com/iwai/" TargetMode="External" Id="rIdHyperlink95" /><Relationship Type="http://schemas.openxmlformats.org/officeDocument/2006/relationships/hyperlink" Target="https://academic.oup.com/bib/article/22/4/bbaa251/5935500" TargetMode="External" Id="rIdHyperlink96" /><Relationship Type="http://schemas.openxmlformats.org/officeDocument/2006/relationships/hyperlink" Target="https://ubitome.erc.monash.edu.au/" TargetMode="External" Id="rIdHyperlink97" /><Relationship Type="http://schemas.openxmlformats.org/officeDocument/2006/relationships/hyperlink" Target="https://ubitome.erc.monash.edu.au/" TargetMode="External" Id="rIdHyperlink98" /><Relationship Type="http://schemas.openxmlformats.org/officeDocument/2006/relationships/hyperlink" Target="https://www.proteomexchange.org/ptmexchange/index.html" TargetMode="External" Id="rIdHyperlink99" /><Relationship Type="http://schemas.openxmlformats.org/officeDocument/2006/relationships/hyperlink" Target="https://www.sciencedirect.com/science/article/pii/S1535947626000678" TargetMode="External" Id="rIdHyperlink100" /><Relationship Type="http://schemas.openxmlformats.org/officeDocument/2006/relationships/hyperlink" Target="https://www.proteomexchange.org/ptmexchange/index.html" TargetMode="External" Id="rIdHyperlink101" /><Relationship Type="http://schemas.openxmlformats.org/officeDocument/2006/relationships/hyperlink" Target="https://www.proteomexchange.org/ptmexchange/Files/Human_GSB_Ubiq_all_prots_1106.csv.gz" TargetMode="External" Id="rIdHyperlink102" /><Relationship Type="http://schemas.openxmlformats.org/officeDocument/2006/relationships/hyperlink" Target="https://www.psb.ugent.be/PlantPTMViewer" TargetMode="External" Id="rIdHyperlink103" /><Relationship Type="http://schemas.openxmlformats.org/officeDocument/2006/relationships/hyperlink" Target="https://academic.oup.com/jxb/article/75/15/4611/7693187" TargetMode="External" Id="rIdHyperlink104" /><Relationship Type="http://schemas.openxmlformats.org/officeDocument/2006/relationships/hyperlink" Target="https://aps.unmc.edu/" TargetMode="External" Id="rIdHyperlink105" /><Relationship Type="http://schemas.openxmlformats.org/officeDocument/2006/relationships/hyperlink" Target="https://academic.oup.com/nar/article/54/D1/D363/8250474" TargetMode="External" Id="rIdHyperlink106" /><Relationship Type="http://schemas.openxmlformats.org/officeDocument/2006/relationships/hyperlink" Target="https://esbl.nhlbi.nih.gov/helixweb/Database/Carbamylation/Carbamylation_peptide_sorted.html" TargetMode="External" Id="rIdHyperlink107" /><Relationship Type="http://schemas.openxmlformats.org/officeDocument/2006/relationships/hyperlink" Target="https://esbl.nhlbi.nih.gov/helixweb/Database/Carbamylation/Carbamylation_peptide_sorted.html" TargetMode="External" Id="rIdHyperlink108" /><Relationship Type="http://schemas.openxmlformats.org/officeDocument/2006/relationships/hyperlink" Target="https://journals.plos.org/plosone/article?id=10.1371/journal.pone.0295279" TargetMode="External" Id="rIdHyperlink109" /><Relationship Type="http://schemas.openxmlformats.org/officeDocument/2006/relationships/hyperlink" Target="https://github.com/FranceCosta/Isopeptor_development" TargetMode="External" Id="rIdHyperlink110" /><Relationship Type="http://schemas.openxmlformats.org/officeDocument/2006/relationships/hyperlink" Target="https://pmc.ncbi.nlm.nih.gov/articles/PMC11919812/" TargetMode="External" Id="rIdHyperlink111" /><Relationship Type="http://schemas.openxmlformats.org/officeDocument/2006/relationships/hyperlink" Target="https://pydish.bio.info.hiroshima-cu.ac.jp/data/" TargetMode="External" Id="rIdHyperlink112" /><Relationship Type="http://schemas.openxmlformats.org/officeDocument/2006/relationships/hyperlink" Target="https://pydish.bio.info.hiroshima-cu.ac.jp/data/" TargetMode="External" Id="rIdHyperlink113" /><Relationship Type="http://schemas.openxmlformats.org/officeDocument/2006/relationships/hyperlink" Target="https://www.fpbase.org/" TargetMode="External" Id="rIdHyperlink114" /><Relationship Type="http://schemas.openxmlformats.org/officeDocument/2006/relationships/hyperlink" Target="https://www.fpbase.org/about/" TargetMode="External" Id="rIdHyperlink115" /><Relationship Type="http://schemas.openxmlformats.org/officeDocument/2006/relationships/hyperlink" Target="https://www.mrc-lmb.cam.ac.uk/genomes/dolop/list.shtml" TargetMode="External" Id="rIdHyperlink116" /><Relationship Type="http://schemas.openxmlformats.org/officeDocument/2006/relationships/hyperlink" Target="https://pmc.ncbi.nlm.nih.gov/articles/PMC1446993/" TargetMode="External" Id="rIdHyperlink117" /><Relationship Type="http://schemas.openxmlformats.org/officeDocument/2006/relationships/hyperlink" Target="https://lantibase.weebly.com/" TargetMode="External" Id="rIdHyperlink118" /><Relationship Type="http://schemas.openxmlformats.org/officeDocument/2006/relationships/hyperlink" Target="https://lantibase.weebly.com/" TargetMode="External" Id="rIdHyperlink119" /><Relationship Type="http://schemas.openxmlformats.org/officeDocument/2006/relationships/hyperlink" Target="https://bioinformatics.unipr.it/cgi-bin/bioinformatics/B6db/home.pl" TargetMode="External" Id="rIdHyperlink120" /><Relationship Type="http://schemas.openxmlformats.org/officeDocument/2006/relationships/hyperlink" Target="https://bioinformatics.unipr.it/cgi-bin/bioinformatics/B6db/home.pl" TargetMode="External" Id="rIdHyperlink121" /><Relationship Type="http://schemas.openxmlformats.org/officeDocument/2006/relationships/hyperlink" Target="https://abims.sb-roscoff.fr/micrhode/" TargetMode="External" Id="rIdHyperlink122" /><Relationship Type="http://schemas.openxmlformats.org/officeDocument/2006/relationships/hyperlink" Target="https://pmc.ncbi.nlm.nih.gov/articles/PMC4539915/" TargetMode="External" Id="rIdHyperlink12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41745baa76f24cfa" /><Relationship Type="http://schemas.openxmlformats.org/officeDocument/2006/relationships/hyperlink" Target="https://dbpsp.biocuckoo.cn/" TargetMode="External" Id="rIdHyperlink1" /><Relationship Type="http://schemas.openxmlformats.org/officeDocument/2006/relationships/hyperlink" Target="https://dbpsp.biocuckoo.cn/" TargetMode="External" Id="rIdHyperlink2" /><Relationship Type="http://schemas.openxmlformats.org/officeDocument/2006/relationships/hyperlink" Target="https://pmc.ncbi.nlm.nih.gov/articles/PMC7260176/" TargetMode="External" Id="rIdHyperlink3" /><Relationship Type="http://schemas.openxmlformats.org/officeDocument/2006/relationships/hyperlink" Target="https://www.proglycprot.org/" TargetMode="External" Id="rIdHyperlink4" /><Relationship Type="http://schemas.openxmlformats.org/officeDocument/2006/relationships/hyperlink" Target="https://www.proglycprot.org/" TargetMode="External" Id="rIdHyperlink5" /><Relationship Type="http://schemas.openxmlformats.org/officeDocument/2006/relationships/hyperlink" Target="https://www.proglycprot.org/" TargetMode="External" Id="rIdHyperlink6" /><Relationship Type="http://schemas.openxmlformats.org/officeDocument/2006/relationships/hyperlink" Target="https://www.proglycprot.org/" TargetMode="External" Id="rIdHyperlink7" /><Relationship Type="http://schemas.openxmlformats.org/officeDocument/2006/relationships/hyperlink" Target="https://www.proglycprot.org/" TargetMode="External" Id="rIdHyperlink8" /><Relationship Type="http://schemas.openxmlformats.org/officeDocument/2006/relationships/hyperlink" Target="https://pmc.ncbi.nlm.nih.gov/articles/PMC3314583/" TargetMode="External" Id="rIdHyperlink9" /><Relationship Type="http://schemas.openxmlformats.org/officeDocument/2006/relationships/hyperlink" Target="https://pmc.ncbi.nlm.nih.gov/articles/PMC3314583/" TargetMode="External" Id="rIdHyperlink10" /><Relationship Type="http://schemas.openxmlformats.org/officeDocument/2006/relationships/hyperlink" Target="https://pmc.ncbi.nlm.nih.gov/articles/PMC3314583/" TargetMode="External" Id="rIdHyperlink11" /><Relationship Type="http://schemas.openxmlformats.org/officeDocument/2006/relationships/hyperlink" Target="https://doi.org/10.1021/acs.jproteome.5c00902" TargetMode="External" Id="rIdHyperlink12" /><Relationship Type="http://schemas.openxmlformats.org/officeDocument/2006/relationships/hyperlink" Target="https://doi.org/10.1021/acs.jproteome.5c00902" TargetMode="External" Id="rIdHyperlink13" /><Relationship Type="http://schemas.openxmlformats.org/officeDocument/2006/relationships/hyperlink" Target="https://doi.org/10.1021/acs.jproteome.5c00902" TargetMode="External" Id="rIdHyperlink14" /><Relationship Type="http://schemas.openxmlformats.org/officeDocument/2006/relationships/hyperlink" Target="https://doi.org/10.1021/acs.jproteome.5c00902" TargetMode="External" Id="rIdHyperlink15" /><Relationship Type="http://schemas.openxmlformats.org/officeDocument/2006/relationships/hyperlink" Target="https://doi.org/10.1021/acs.jproteome.5c00902" TargetMode="External" Id="rIdHyperlink16" /><Relationship Type="http://schemas.openxmlformats.org/officeDocument/2006/relationships/hyperlink" Target="https://academic.oup.com/bib/article/22/4/bbaa251/5935500" TargetMode="External" Id="rIdHyperlink17" /><Relationship Type="http://schemas.openxmlformats.org/officeDocument/2006/relationships/hyperlink" Target="https://academic.oup.com/bib/article/22/4/bbaa251/5935500" TargetMode="External" Id="rIdHyperlink18" /><Relationship Type="http://schemas.openxmlformats.org/officeDocument/2006/relationships/hyperlink" Target="https://academic.oup.com/bib/article/22/4/bbaa251/5935500" TargetMode="External" Id="rIdHyperlink19" /><Relationship Type="http://schemas.openxmlformats.org/officeDocument/2006/relationships/hyperlink" Target="https://www.sciencedirect.com/science/article/pii/S1535947626000678" TargetMode="External" Id="rIdHyperlink20" /><Relationship Type="http://schemas.openxmlformats.org/officeDocument/2006/relationships/hyperlink" Target="https://www.sciencedirect.com/science/article/pii/S1535947626000678" TargetMode="External" Id="rIdHyperlink21" /><Relationship Type="http://schemas.openxmlformats.org/officeDocument/2006/relationships/hyperlink" Target="https://www.proteomexchange.org/ptmexchange/Files/Human_GSB_Ubiq_all_prots_1106.csv.gz" TargetMode="External" Id="rIdHyperlink22" /><Relationship Type="http://schemas.openxmlformats.org/officeDocument/2006/relationships/hyperlink" Target="https://www.proteomexchange.org/ptmexchange/Files/Human_GSB_Ubiq_all_prots_1106.csv.gz" TargetMode="External" Id="rIdHyperlink23" /><Relationship Type="http://schemas.openxmlformats.org/officeDocument/2006/relationships/hyperlink" Target="https://www.proteomexchange.org/ptmexchange/Files/Human_GSB_Ubiq_all_prots_1106.csv.gz" TargetMode="External" Id="rIdHyperlink24" /><Relationship Type="http://schemas.openxmlformats.org/officeDocument/2006/relationships/hyperlink" Target="https://www.proteomexchange.org/ptmexchange/Files/Human_GSB_Ubiq_all_prots_1106.csv.gz" TargetMode="External" Id="rIdHyperlink25" /><Relationship Type="http://schemas.openxmlformats.org/officeDocument/2006/relationships/hyperlink" Target="https://ubitome.erc.monash.edu.au/" TargetMode="External" Id="rIdHyperlink26" /><Relationship Type="http://schemas.openxmlformats.org/officeDocument/2006/relationships/hyperlink" Target="https://ubitome.erc.monash.edu.au/" TargetMode="External" Id="rIdHyperlink27" /><Relationship Type="http://schemas.openxmlformats.org/officeDocument/2006/relationships/hyperlink" Target="https://pmc.ncbi.nlm.nih.gov/articles/PMC3894998/" TargetMode="External" Id="rIdHyperlink28" /><Relationship Type="http://schemas.openxmlformats.org/officeDocument/2006/relationships/hyperlink" Target="https://pmc.ncbi.nlm.nih.gov/articles/PMC3894998/" TargetMode="External" Id="rIdHyperlink29" /><Relationship Type="http://schemas.openxmlformats.org/officeDocument/2006/relationships/hyperlink" Target="https://pmc.ncbi.nlm.nih.gov/articles/PMC1855352/" TargetMode="External" Id="rIdHyperlink30" /><Relationship Type="http://schemas.openxmlformats.org/officeDocument/2006/relationships/hyperlink" Target="https://pmc.ncbi.nlm.nih.gov/articles/PMC4843525/" TargetMode="External" Id="rIdHyperlink31" /><Relationship Type="http://schemas.openxmlformats.org/officeDocument/2006/relationships/hyperlink" Target="https://pmc.ncbi.nlm.nih.gov/articles/PMC4843525/" TargetMode="External" Id="rIdHyperlink32" /><Relationship Type="http://schemas.openxmlformats.org/officeDocument/2006/relationships/hyperlink" Target="https://pmc.ncbi.nlm.nih.gov/articles/PMC7947570/" TargetMode="External" Id="rIdHyperlink33" /><Relationship Type="http://schemas.openxmlformats.org/officeDocument/2006/relationships/hyperlink" Target="https://pmc.ncbi.nlm.nih.gov/articles/PMC5753239/" TargetMode="External" Id="rIdHyperlink34" /><Relationship Type="http://schemas.openxmlformats.org/officeDocument/2006/relationships/hyperlink" Target="https://www.ebi.ac.uk/thornton-srv/databases/CoFactor/" TargetMode="External" Id="rIdHyperlink35" /><Relationship Type="http://schemas.openxmlformats.org/officeDocument/2006/relationships/hyperlink" Target="https://www.ebi.ac.uk/thornton-srv/m-csa/api/entries/?format=json" TargetMode="External" Id="rIdHyperlink36" /><Relationship Type="http://schemas.openxmlformats.org/officeDocument/2006/relationships/hyperlink" Target="https://www.ebi.ac.uk/thornton-srv/m-csa/api/residues/?format=json" TargetMode="External" Id="rIdHyperlink37" /><Relationship Type="http://schemas.openxmlformats.org/officeDocument/2006/relationships/hyperlink" Target="https://www.ebi.ac.uk/thornton-srv/m-csa/api/residues/?format=json" TargetMode="External" Id="rIdHyperlink38" /><Relationship Type="http://schemas.openxmlformats.org/officeDocument/2006/relationships/hyperlink" Target="https://biomics.lab.nycu.edu.tw/dbPTM/download.php" TargetMode="External" Id="rIdHyperlink39" /><Relationship Type="http://schemas.openxmlformats.org/officeDocument/2006/relationships/hyperlink" Target="https://biomics.lab.nycu.edu.tw/dbPTM/download.php" TargetMode="External" Id="rIdHyperlink40" /><Relationship Type="http://schemas.openxmlformats.org/officeDocument/2006/relationships/hyperlink" Target="https://biomics.lab.nycu.edu.tw/dbPTM/download.php" TargetMode="External" Id="rIdHyperlink41" /><Relationship Type="http://schemas.openxmlformats.org/officeDocument/2006/relationships/hyperlink" Target="https://biomics.lab.nycu.edu.tw/dbPTM/download.php" TargetMode="External" Id="rIdHyperlink42" /><Relationship Type="http://schemas.openxmlformats.org/officeDocument/2006/relationships/hyperlink" Target="https://biomics.lab.nycu.edu.tw/dbPTM/download.php" TargetMode="External" Id="rIdHyperlink43" /><Relationship Type="http://schemas.openxmlformats.org/officeDocument/2006/relationships/hyperlink" Target="https://biomics.lab.nycu.edu.tw/dbPTM/download.php" TargetMode="External" Id="rIdHyperlink44" /><Relationship Type="http://schemas.openxmlformats.org/officeDocument/2006/relationships/hyperlink" Target="https://biomics.lab.nycu.edu.tw/dbPTM/download.php" TargetMode="External" Id="rIdHyperlink45" /><Relationship Type="http://schemas.openxmlformats.org/officeDocument/2006/relationships/hyperlink" Target="https://biomics.lab.nycu.edu.tw/dbPTM/download.php" TargetMode="External" Id="rIdHyperlink46" /><Relationship Type="http://schemas.openxmlformats.org/officeDocument/2006/relationships/hyperlink" Target="https://biomics.lab.nycu.edu.tw/dbPTM/download.php" TargetMode="External" Id="rIdHyperlink47" /><Relationship Type="http://schemas.openxmlformats.org/officeDocument/2006/relationships/hyperlink" Target="http://genomics.dote.hu/mediawiki/index.php/Main_Page" TargetMode="External" Id="rIdHyperlink48" /><Relationship Type="http://schemas.openxmlformats.org/officeDocument/2006/relationships/hyperlink" Target="https://pmc.ncbi.nlm.nih.gov/articles/PMC2242420/" TargetMode="External" Id="rIdHyperlink49" /><Relationship Type="http://schemas.openxmlformats.org/officeDocument/2006/relationships/hyperlink" Target="https://www.ebi.ac.uk/merops/whatsnew.shtml" TargetMode="External" Id="rIdHyperlink50" /><Relationship Type="http://schemas.openxmlformats.org/officeDocument/2006/relationships/hyperlink" Target="https://www.ebi.ac.uk/merops/cgi-bin/substrate_count?action=G" TargetMode="External" Id="rIdHyperlink51" /><Relationship Type="http://schemas.openxmlformats.org/officeDocument/2006/relationships/hyperlink" Target="https://www.ebi.ac.uk/merops/cgi-bin/substrate_count?action=G" TargetMode="External" Id="rIdHyperlink52" /><Relationship Type="http://schemas.openxmlformats.org/officeDocument/2006/relationships/hyperlink" Target="https://pmc.ncbi.nlm.nih.gov/articles/PMC3926948/" TargetMode="External" Id="rIdHyperlink53" /><Relationship Type="http://schemas.openxmlformats.org/officeDocument/2006/relationships/hyperlink" Target="https://pmc.ncbi.nlm.nih.gov/articles/PMC3926948/" TargetMode="External" Id="rIdHyperlink54" /><Relationship Type="http://schemas.openxmlformats.org/officeDocument/2006/relationships/hyperlink" Target="https://pmc.ncbi.nlm.nih.gov/articles/PMC3591672/" TargetMode="External" Id="rIdHyperlink55" /><Relationship Type="http://schemas.openxmlformats.org/officeDocument/2006/relationships/hyperlink" Target="https://pmc.ncbi.nlm.nih.gov/articles/PMC3591672/" TargetMode="External" Id="rIdHyperlink56" /><Relationship Type="http://schemas.openxmlformats.org/officeDocument/2006/relationships/hyperlink" Target="https://pmc.ncbi.nlm.nih.gov/articles/PMC3591672/" TargetMode="External" Id="rIdHyperlink57" /><Relationship Type="http://schemas.openxmlformats.org/officeDocument/2006/relationships/hyperlink" Target="https://pmc.ncbi.nlm.nih.gov/articles/PMC3591672/" TargetMode="External" Id="rIdHyperlink58" /><Relationship Type="http://schemas.openxmlformats.org/officeDocument/2006/relationships/hyperlink" Target="https://journals.plos.org/plosone/article?id=10.1371/journal.pone.0110539" TargetMode="External" Id="rIdHyperlink59" /><Relationship Type="http://schemas.openxmlformats.org/officeDocument/2006/relationships/hyperlink" Target="https://journals.plos.org/plosone/article?id=10.1371/journal.pone.0110539" TargetMode="External" Id="rIdHyperlink60" /><Relationship Type="http://schemas.openxmlformats.org/officeDocument/2006/relationships/hyperlink" Target="https://www.caspsites.org/about/" TargetMode="External" Id="rIdHyperlink61" /><Relationship Type="http://schemas.openxmlformats.org/officeDocument/2006/relationships/hyperlink" Target="https://www.caspsites.org/about/" TargetMode="External" Id="rIdHyperlink62" /><Relationship Type="http://schemas.openxmlformats.org/officeDocument/2006/relationships/hyperlink" Target="https://diced.lerner.ccf.org/" TargetMode="External" Id="rIdHyperlink63" /><Relationship Type="http://schemas.openxmlformats.org/officeDocument/2006/relationships/hyperlink" Target="https://pmc.ncbi.nlm.nih.gov/articles/PMC9216586/" TargetMode="External" Id="rIdHyperlink64" /><Relationship Type="http://schemas.openxmlformats.org/officeDocument/2006/relationships/hyperlink" Target="https://pmc.ncbi.nlm.nih.gov/articles/PMC9216586/" TargetMode="External" Id="rIdHyperlink65" /><Relationship Type="http://schemas.openxmlformats.org/officeDocument/2006/relationships/hyperlink" Target="https://academic.oup.com/bioinformatics/article/20/16/2509/237028" TargetMode="External" Id="rIdHyperlink66" /><Relationship Type="http://schemas.openxmlformats.org/officeDocument/2006/relationships/hyperlink" Target="https://pmc.ncbi.nlm.nih.gov/articles/PMC3474208/" TargetMode="External" Id="rIdHyperlink67" /><Relationship Type="http://schemas.openxmlformats.org/officeDocument/2006/relationships/hyperlink" Target="https://pmc.ncbi.nlm.nih.gov/articles/PMC3474208/" TargetMode="External" Id="rIdHyperlink68" /><Relationship Type="http://schemas.openxmlformats.org/officeDocument/2006/relationships/hyperlink" Target="https://academic.oup.com/database/article/doi/10.1093/database/baag021/8676277" TargetMode="External" Id="rIdHyperlink69" /><Relationship Type="http://schemas.openxmlformats.org/officeDocument/2006/relationships/hyperlink" Target="https://academic.oup.com/database/article/doi/10.1093/database/baag021/8676277" TargetMode="External" Id="rIdHyperlink70" /><Relationship Type="http://schemas.openxmlformats.org/officeDocument/2006/relationships/hyperlink" Target="https://www.uniprot.org/help/crosslnk" TargetMode="External" Id="rIdHyperlink71" /><Relationship Type="http://schemas.openxmlformats.org/officeDocument/2006/relationships/hyperlink" Target="https://www.uniprot.org/help/crosslnk" TargetMode="External" Id="rIdHyperlink7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2e0610efc46044f5" /><Relationship Type="http://schemas.openxmlformats.org/officeDocument/2006/relationships/hyperlink" Target="https://doi.org/10.1016/j.cmet.2017.03.006" TargetMode="External" Id="rIdHyperlink1" /><Relationship Type="http://schemas.openxmlformats.org/officeDocument/2006/relationships/hyperlink" Target="https://doi.org/10.1016/j.cmet.2017.03.006" TargetMode="External" Id="rIdHyperlink2" /><Relationship Type="http://schemas.openxmlformats.org/officeDocument/2006/relationships/hyperlink" Target="https://doi.org/10.1016/j.cmet.2017.03.006" TargetMode="External" Id="rIdHyperlink3" /><Relationship Type="http://schemas.openxmlformats.org/officeDocument/2006/relationships/hyperlink" Target="https://doi.org/10.1038/s41467-018-05567-w" TargetMode="External" Id="rIdHyperlink4" /><Relationship Type="http://schemas.openxmlformats.org/officeDocument/2006/relationships/hyperlink" Target="https://doi.org/10.1093/nar/gkaa1176" TargetMode="External" Id="rIdHyperlink5" /><Relationship Type="http://schemas.openxmlformats.org/officeDocument/2006/relationships/hyperlink" Target="https://doi.org/10.1038/s41421-021-00344-4" TargetMode="External" Id="rIdHyperlink6" /><Relationship Type="http://schemas.openxmlformats.org/officeDocument/2006/relationships/hyperlink" Target="https://doi.org/10.1038/s42255-026-01556-2" TargetMode="External" Id="rIdHyperlink7" /><Relationship Type="http://schemas.openxmlformats.org/officeDocument/2006/relationships/hyperlink" Target="https://doi.org/10.1016/j.cmet.2026.05.016" TargetMode="External" Id="rIdHyperlink8" /><Relationship Type="http://schemas.openxmlformats.org/officeDocument/2006/relationships/hyperlink" Target="https://doi.org/10.1016/j.molcel.2016.03.036" TargetMode="External" Id="rIdHyperlink9" /><Relationship Type="http://schemas.openxmlformats.org/officeDocument/2006/relationships/hyperlink" Target="https://doi.org/10.1038/s41589-024-01680-8" TargetMode="External" Id="rIdHyperlink10" /><Relationship Type="http://schemas.openxmlformats.org/officeDocument/2006/relationships/hyperlink" Target="https://doi.org/10.1038/s41467-021-25867-y" TargetMode="External" Id="rIdHyperlink11" /><Relationship Type="http://schemas.openxmlformats.org/officeDocument/2006/relationships/hyperlink" Target="https://pmc.ncbi.nlm.nih.gov/articles/PMC8602705/" TargetMode="External" Id="rIdHyperlink12" /><Relationship Type="http://schemas.openxmlformats.org/officeDocument/2006/relationships/hyperlink" Target="https://doi.org/10.1126/science.1238327" TargetMode="External" Id="rIdHyperlink13" /><Relationship Type="http://schemas.openxmlformats.org/officeDocument/2006/relationships/hyperlink" Target="https://doi.org/10.3389/fcell.2021.717503" TargetMode="External" Id="rIdHyperlink14" /><Relationship Type="http://schemas.openxmlformats.org/officeDocument/2006/relationships/hyperlink" Target="https://doi.org/10.1002/cbic.201900359" TargetMode="External" Id="rIdHyperlink15" /><Relationship Type="http://schemas.openxmlformats.org/officeDocument/2006/relationships/hyperlink" Target="https://doi.org/10.1038/s41586-020-2013-6" TargetMode="External" Id="rIdHyperlink16" /><Relationship Type="http://schemas.openxmlformats.org/officeDocument/2006/relationships/hyperlink" Target="https://doi.org/10.1016/j.molcel.2019.10.019" TargetMode="External" Id="rIdHyperlink17" /><Relationship Type="http://schemas.openxmlformats.org/officeDocument/2006/relationships/hyperlink" Target="https://doi.org/10.1038/s41586-021-04020-1" TargetMode="External" Id="rIdHyperlink18" /><Relationship Type="http://schemas.openxmlformats.org/officeDocument/2006/relationships/hyperlink" Target="https://doi.org/10.1038/s41586-023-06429-2" TargetMode="External" Id="rIdHyperlink19" /><Relationship Type="http://schemas.openxmlformats.org/officeDocument/2006/relationships/hyperlink" Target="https://doi.org/10.1016/j.celrep.2020.108161" TargetMode="External" Id="rIdHyperlink20" /><Relationship Type="http://schemas.openxmlformats.org/officeDocument/2006/relationships/hyperlink" Target="https://doi.org/10.1038/nature10335" TargetMode="External" Id="rIdHyperlink21" /><Relationship Type="http://schemas.openxmlformats.org/officeDocument/2006/relationships/hyperlink" Target="https://doi.org/10.1074/jbc.M604324200" TargetMode="External" Id="rIdHyperlink22" /><Relationship Type="http://schemas.openxmlformats.org/officeDocument/2006/relationships/hyperlink" Target="https://doi.org/10.1074/jbc.M802430200" TargetMode="External" Id="rIdHyperlink23" /><Relationship Type="http://schemas.openxmlformats.org/officeDocument/2006/relationships/hyperlink" Target="https://doi.org/10.7554/eLife.51162" TargetMode="External" Id="rIdHyperlink24" /><Relationship Type="http://schemas.openxmlformats.org/officeDocument/2006/relationships/hyperlink" Target="https://doi.org/10.1038/nrmicro3520" TargetMode="External" Id="rIdHyperlink25" /><Relationship Type="http://schemas.openxmlformats.org/officeDocument/2006/relationships/hyperlink" Target="https://doi.org/10.1038/s12276-022-00872-3" TargetMode="External" Id="rIdHyperlink26" /><Relationship Type="http://schemas.openxmlformats.org/officeDocument/2006/relationships/hyperlink" Target="https://doi.org/10.1038/s41580-025-00944-y" TargetMode="External" Id="rIdHyperlink27" /><Relationship Type="http://schemas.openxmlformats.org/officeDocument/2006/relationships/hyperlink" Target="https://doi.org/10.1038/s41467-018-05776-3" TargetMode="External" Id="rIdHyperlink28" /><Relationship Type="http://schemas.openxmlformats.org/officeDocument/2006/relationships/hyperlink" Target="https://doi.org/10.1016/j.cellsig.2021.109946" TargetMode="External" Id="rIdHyperlink29" /><Relationship Type="http://schemas.openxmlformats.org/officeDocument/2006/relationships/hyperlink" Target="https://doi.org/10.1016/j.celrep.2025.116485" TargetMode="External" Id="rIdHyperlink30" /><Relationship Type="http://schemas.openxmlformats.org/officeDocument/2006/relationships/hyperlink" Target="https://doi.org/10.1021/acs.chemrev.6b00737" TargetMode="External" Id="rIdHyperlink31" /><Relationship Type="http://schemas.openxmlformats.org/officeDocument/2006/relationships/hyperlink" Target="https://doi.org/10.1146/annurev-micro-091313-103447" TargetMode="External" Id="rIdHyperlink32" /><Relationship Type="http://schemas.openxmlformats.org/officeDocument/2006/relationships/hyperlink" Target="https://doi.org/10.1146/annurev-micro-091313-103447" TargetMode="External" Id="rIdHyperlink33" /><Relationship Type="http://schemas.openxmlformats.org/officeDocument/2006/relationships/hyperlink" Target="https://doi.org/10.1038/s41586-023-05862-7" TargetMode="External" Id="rIdHyperlink34" /><Relationship Type="http://schemas.openxmlformats.org/officeDocument/2006/relationships/hyperlink" Target="https://doi.org/10.1038/s41586-024-07616-5" TargetMode="External" Id="rIdHyperlink35" /><Relationship Type="http://schemas.openxmlformats.org/officeDocument/2006/relationships/hyperlink" Target="https://doi.org/10.1038/s41594-025-01696-1" TargetMode="External" Id="rIdHyperlink36" /><Relationship Type="http://schemas.openxmlformats.org/officeDocument/2006/relationships/hyperlink" Target="https://doi.org/10.1016/j.bbrc.2017.01.037" TargetMode="External" Id="rIdHyperlink37" /><Relationship Type="http://schemas.openxmlformats.org/officeDocument/2006/relationships/hyperlink" Target="https://doi.org/10.1021/acs.chemrev.6b00737" TargetMode="External" Id="rIdHyperlink38" /><Relationship Type="http://schemas.openxmlformats.org/officeDocument/2006/relationships/hyperlink" Target="https://doi.org/10.1038/s41586-024-08371-3" TargetMode="External" Id="rIdHyperlink39" /><Relationship Type="http://schemas.openxmlformats.org/officeDocument/2006/relationships/hyperlink" Target="https://doi.org/10.1074/jbc.M111.309633" TargetMode="External" Id="rIdHyperlink40" /><Relationship Type="http://schemas.openxmlformats.org/officeDocument/2006/relationships/hyperlink" Target="https://doi.org/10.1038/nchembio.1751" TargetMode="External" Id="rIdHyperlink41" /><Relationship Type="http://schemas.openxmlformats.org/officeDocument/2006/relationships/hyperlink" Target="https://doi.org/10.1002/2211-5463.12901" TargetMode="External" Id="rIdHyperlink42" /><Relationship Type="http://schemas.openxmlformats.org/officeDocument/2006/relationships/hyperlink" Target="https://doi.org/10.1038/s41467-018-06680-6" TargetMode="External" Id="rIdHyperlink43" /><Relationship Type="http://schemas.openxmlformats.org/officeDocument/2006/relationships/hyperlink" Target="https://doi.org/10.1073/pnas.0708608105" TargetMode="External" Id="rIdHyperlink44" /><Relationship Type="http://schemas.openxmlformats.org/officeDocument/2006/relationships/hyperlink" Target="https://doi.org/10.1042/BCJ20170129" TargetMode="External" Id="rIdHyperlink45" /><Relationship Type="http://schemas.openxmlformats.org/officeDocument/2006/relationships/hyperlink" Target="https://doi.org/10.1039/D1SC00660F" TargetMode="External" Id="rIdHyperlink46" /><Relationship Type="http://schemas.openxmlformats.org/officeDocument/2006/relationships/hyperlink" Target="https://doi.org/10.1016/j.redox.2018.08.017" TargetMode="External" Id="rIdHyperlink47" /><Relationship Type="http://schemas.openxmlformats.org/officeDocument/2006/relationships/hyperlink" Target="https://doi.org/10.1016/j.redox.2018.08.017" TargetMode="External" Id="rIdHyperlink48" /><Relationship Type="http://schemas.openxmlformats.org/officeDocument/2006/relationships/hyperlink" Target="https://doi.org/10.1073/pnas.2208924120" TargetMode="External" Id="rIdHyperlink49" /><Relationship Type="http://schemas.openxmlformats.org/officeDocument/2006/relationships/hyperlink" Target="https://doi.org/10.1038/s41589-021-00966-5" TargetMode="External" Id="rIdHyperlink50" /><Relationship Type="http://schemas.openxmlformats.org/officeDocument/2006/relationships/hyperlink" Target="https://doi.org/10.3389/fnagi.2020.00052" TargetMode="External" Id="rIdHyperlink51" /><Relationship Type="http://schemas.openxmlformats.org/officeDocument/2006/relationships/hyperlink" Target="https://doi.org/10.1021/cb500897w" TargetMode="External" Id="rIdHyperlink52" /><Relationship Type="http://schemas.openxmlformats.org/officeDocument/2006/relationships/hyperlink" Target="https://doi.org/10.1080/09168451.2019.1696178" TargetMode="External" Id="rIdHyperlink53" /><Relationship Type="http://schemas.openxmlformats.org/officeDocument/2006/relationships/hyperlink" Target="https://doi.org/10.1016/j.cbpa.2009.06.013" TargetMode="External" Id="rIdHyperlink54" /><Relationship Type="http://schemas.openxmlformats.org/officeDocument/2006/relationships/hyperlink" Target="https://doi.org/10.1016/bs.acc.2017.12.001" TargetMode="External" Id="rIdHyperlink55" /><Relationship Type="http://schemas.openxmlformats.org/officeDocument/2006/relationships/hyperlink" Target="https://doi.org/10.1146/annurev-micro-050624-031631" TargetMode="External" Id="rIdHyperlink56" /><Relationship Type="http://schemas.openxmlformats.org/officeDocument/2006/relationships/hyperlink" Target="https://ftp.uniprot.org/pub/databases/uniprot/current_release/knowledgebase/complete/docs/ptmlist.txt" TargetMode="External" Id="rIdHyperlink57" /><Relationship Type="http://schemas.openxmlformats.org/officeDocument/2006/relationships/hyperlink" Target="https://doi.org/10.1016/j.freeradbiomed.2024.04.230" TargetMode="External" Id="rIdHyperlink58" /><Relationship Type="http://schemas.openxmlformats.org/officeDocument/2006/relationships/hyperlink" Target="https://doi.org/10.1042/BST20220735" TargetMode="External" Id="rIdHyperlink59" /><Relationship Type="http://schemas.openxmlformats.org/officeDocument/2006/relationships/hyperlink" Target="https://doi.org/10.1042/BST20180436" TargetMode="External" Id="rIdHyperlink60" /><Relationship Type="http://schemas.openxmlformats.org/officeDocument/2006/relationships/hyperlink" Target="https://doi.org/10.1146/annurev-biochem-052521-040313" TargetMode="External" Id="rIdHyperlink61" /><Relationship Type="http://schemas.openxmlformats.org/officeDocument/2006/relationships/hyperlink" Target="https://doi.org/10.1098/rsob.200414" TargetMode="External" Id="rIdHyperlink62" /><Relationship Type="http://schemas.openxmlformats.org/officeDocument/2006/relationships/hyperlink" Target="https://pmc.ncbi.nlm.nih.gov/articles/PMC8122138/" TargetMode="External" Id="rIdHyperlink63" /><Relationship Type="http://schemas.openxmlformats.org/officeDocument/2006/relationships/hyperlink" Target="https://doi.org/10.1016/j.tibs.2019.03.007" TargetMode="External" Id="rIdHyperlink64" /><Relationship Type="http://schemas.openxmlformats.org/officeDocument/2006/relationships/hyperlink" Target="https://doi.org/10.1038/s41467-025-63625-6" TargetMode="External" Id="rIdHyperlink65" /><Relationship Type="http://schemas.openxmlformats.org/officeDocument/2006/relationships/hyperlink" Target="https://doi.org/10.1038/s41589-022-01219-9" TargetMode="External" Id="rIdHyperlink66" /><Relationship Type="http://schemas.openxmlformats.org/officeDocument/2006/relationships/hyperlink" Target="https://doi.org/10.1042/BST20200767" TargetMode="External" Id="rIdHyperlink67" /><Relationship Type="http://schemas.openxmlformats.org/officeDocument/2006/relationships/hyperlink" Target="https://doi.org/10.1074/mcp.M116.061549" TargetMode="External" Id="rIdHyperlink68" /><Relationship Type="http://schemas.openxmlformats.org/officeDocument/2006/relationships/hyperlink" Target="https://doi.org/10.1016/j.jbc.2024.105677" TargetMode="External" Id="rIdHyperlink69" /><Relationship Type="http://schemas.openxmlformats.org/officeDocument/2006/relationships/hyperlink" Target="https://doi.org/10.1016/j.jbc.2024.105677" TargetMode="External" Id="rIdHyperlink70" /><Relationship Type="http://schemas.openxmlformats.org/officeDocument/2006/relationships/hyperlink" Target="https://doi.org/10.1021/acs.chemrev.6b00591" TargetMode="External" Id="rIdHyperlink71" /><Relationship Type="http://schemas.openxmlformats.org/officeDocument/2006/relationships/hyperlink" Target="https://doi.org/10.1021/acs.chemrev.6b00591" TargetMode="External" Id="rIdHyperlink72" /><Relationship Type="http://schemas.openxmlformats.org/officeDocument/2006/relationships/hyperlink" Target="https://doi.org/10.1021/acs.chemrev.6b00591" TargetMode="External" Id="rIdHyperlink73" /><Relationship Type="http://schemas.openxmlformats.org/officeDocument/2006/relationships/hyperlink" Target="https://doi.org/10.1021/acs.chemrev.6b00591" TargetMode="External" Id="rIdHyperlink74" /><Relationship Type="http://schemas.openxmlformats.org/officeDocument/2006/relationships/hyperlink" Target="https://doi.org/10.1289/ehp.0900824" TargetMode="External" Id="rIdHyperlink7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d1c70505947a4e2a" /><Relationship Type="http://schemas.openxmlformats.org/officeDocument/2006/relationships/hyperlink" Target="https://biomics.lab.nycu.edu.tw/dbPTM/download.php" TargetMode="External" Id="rIdHyperlink1" /><Relationship Type="http://schemas.openxmlformats.org/officeDocument/2006/relationships/hyperlink" Target="https://pmc.ncbi.nlm.nih.gov/articles/PMC7797053/" TargetMode="External" Id="rIdHyperlink2" /><Relationship Type="http://schemas.openxmlformats.org/officeDocument/2006/relationships/hyperlink" Target="https://proteomecentral.proteomexchange.org/cgi/GetDataset?ID=PXD051167" TargetMode="External" Id="rIdHyperlink3" /><Relationship Type="http://schemas.openxmlformats.org/officeDocument/2006/relationships/hyperlink" Target="https://doi.org/10.7554/eLife.104123" TargetMode="External" Id="rIdHyperlink4" /><Relationship Type="http://schemas.openxmlformats.org/officeDocument/2006/relationships/hyperlink" Target="https://proteomescout.research.virginia.edu/downloads" TargetMode="External" Id="rIdHyperlink5" /><Relationship Type="http://schemas.openxmlformats.org/officeDocument/2006/relationships/hyperlink" Target="https://proteomecentral.proteomexchange.org/cgi/GetDataset?ID=PXD050143" TargetMode="External" Id="rIdHyperlink6" /><Relationship Type="http://schemas.openxmlformats.org/officeDocument/2006/relationships/hyperlink" Target="https://pubs.acs.org/doi/10.1021/jacs.3c02332" TargetMode="External" Id="rIdHyperlink7" /><Relationship Type="http://schemas.openxmlformats.org/officeDocument/2006/relationships/hyperlink" Target="https://academic.oup.com/nar/article/54/D1/D363/8250474" TargetMode="External" Id="rIdHyperlink8" /><Relationship Type="http://schemas.openxmlformats.org/officeDocument/2006/relationships/hyperlink" Target="https://esbl.nhlbi.nih.gov/helixweb/Database/Carbamylation/Carbamylation_peptide_sorted.html" TargetMode="External" Id="rIdHyperlink9" /><Relationship Type="http://schemas.openxmlformats.org/officeDocument/2006/relationships/hyperlink" Target="https://biomics.lab.nycu.edu.tw/dbPTM/download.php" TargetMode="External" Id="rIdHyperlink10" /><Relationship Type="http://schemas.openxmlformats.org/officeDocument/2006/relationships/hyperlink" Target="https://proteomecentral.proteomexchange.org/cgi/GetDataset?ID=PXD054426-1&amp;test=no" TargetMode="External" Id="rIdHyperlink11" /><Relationship Type="http://schemas.openxmlformats.org/officeDocument/2006/relationships/hyperlink" Target="https://biomics.lab.nycu.edu.tw/dbPTM/download.php" TargetMode="External" Id="rIdHyperlink12" /><Relationship Type="http://schemas.openxmlformats.org/officeDocument/2006/relationships/hyperlink" Target="https://proteomescout.research.virginia.edu/downloads" TargetMode="External" Id="rIdHyperlink13" /><Relationship Type="http://schemas.openxmlformats.org/officeDocument/2006/relationships/hyperlink" Target="https://proteomescout.research.virginia.edu/downloads" TargetMode="External" Id="rIdHyperlink14" /><Relationship Type="http://schemas.openxmlformats.org/officeDocument/2006/relationships/hyperlink" Target="https://pmc.ncbi.nlm.nih.gov/articles/PMC12643917/" TargetMode="External" Id="rIdHyperlink15" /><Relationship Type="http://schemas.openxmlformats.org/officeDocument/2006/relationships/hyperlink" Target="https://journals.plos.org/plosone/article?id=10.1371/journal.pone.0295279" TargetMode="External" Id="rIdHyperlink16" /><Relationship Type="http://schemas.openxmlformats.org/officeDocument/2006/relationships/hyperlink" Target="https://biomics.lab.nycu.edu.tw/dbPTM/download.php" TargetMode="External" Id="rIdHyperlink17" /><Relationship Type="http://schemas.openxmlformats.org/officeDocument/2006/relationships/hyperlink" Target="https://biomics.lab.nycu.edu.tw/dbPTM/download.php" TargetMode="External" Id="rIdHyperlink18" /><Relationship Type="http://schemas.openxmlformats.org/officeDocument/2006/relationships/hyperlink" Target="https://biomics.lab.nycu.edu.tw/dbPTM/download.php" TargetMode="External" Id="rIdHyperlink19" /><Relationship Type="http://schemas.openxmlformats.org/officeDocument/2006/relationships/hyperlink" Target="https://biomics.lab.nycu.edu.tw/dbPTM/download.php" TargetMode="External" Id="rIdHyperlink20" /><Relationship Type="http://schemas.openxmlformats.org/officeDocument/2006/relationships/hyperlink" Target="https://biomics.lab.nycu.edu.tw/dbPTM/download.php" TargetMode="External" Id="rIdHyperlink21" /><Relationship Type="http://schemas.openxmlformats.org/officeDocument/2006/relationships/hyperlink" Target="https://biomics.lab.nycu.edu.tw/dbPTM/download.php" TargetMode="External" Id="rIdHyperlink22" /><Relationship Type="http://schemas.openxmlformats.org/officeDocument/2006/relationships/hyperlink" Target="https://biomics.lab.nycu.edu.tw/dbPTM/download.php" TargetMode="External" Id="rIdHyperlink2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b555243861de4093" /><Relationship Type="http://schemas.openxmlformats.org/officeDocument/2006/relationships/hyperlink" Target="https://www.mrc-lmb.cam.ac.uk/genomes/dolop/list.shtml" TargetMode="External" Id="rIdHyperlink1" /><Relationship Type="http://schemas.openxmlformats.org/officeDocument/2006/relationships/hyperlink" Target="https://biomics.lab.nycu.edu.tw/dbPTM/statistics.php" TargetMode="External" Id="rIdHyperlink2" /><Relationship Type="http://schemas.openxmlformats.org/officeDocument/2006/relationships/hyperlink" Target="https://pmc.ncbi.nlm.nih.gov/articles/PMC10648299/" TargetMode="External" Id="rIdHyperlink3" /><Relationship Type="http://schemas.openxmlformats.org/officeDocument/2006/relationships/hyperlink" Target="https://pmc.ncbi.nlm.nih.gov/articles/PMC5815371/" TargetMode="External" Id="rIdHyperlink4" /><Relationship Type="http://schemas.openxmlformats.org/officeDocument/2006/relationships/hyperlink" Target="https://pmc.ncbi.nlm.nih.gov/articles/PMC5815371/" TargetMode="External" Id="rIdHyperlink5" /><Relationship Type="http://schemas.openxmlformats.org/officeDocument/2006/relationships/hyperlink" Target="https://pubmed.ncbi.nlm.nih.gov/41187061/" TargetMode="External" Id="rIdHyperlink6" /><Relationship Type="http://schemas.openxmlformats.org/officeDocument/2006/relationships/hyperlink" Target="https://pmc.ncbi.nlm.nih.gov/articles/PMC3596133/" TargetMode="External" Id="rIdHyperlink7" /><Relationship Type="http://schemas.openxmlformats.org/officeDocument/2006/relationships/hyperlink" Target="https://pmc.ncbi.nlm.nih.gov/articles/PMC2872088/" TargetMode="External" Id="rIdHyperlink8" /><Relationship Type="http://schemas.openxmlformats.org/officeDocument/2006/relationships/hyperlink" Target="https://biomics.lab.nycu.edu.tw/dbSNO/statistics.php" TargetMode="External" Id="rIdHyperlink9" /><Relationship Type="http://schemas.openxmlformats.org/officeDocument/2006/relationships/hyperlink" Target="https://www.deepnitro.renlab.org/help.html" TargetMode="External" Id="rIdHyperlink10" /><Relationship Type="http://schemas.openxmlformats.org/officeDocument/2006/relationships/hyperlink" Target="https://academic.oup.com/bib/article/22/5/bbaa400/6066620" TargetMode="External" Id="rIdHyperlink11" /><Relationship Type="http://schemas.openxmlformats.org/officeDocument/2006/relationships/hyperlink" Target="https://biomics.lab.nycu.edu.tw/dbPTM/statistics.php" TargetMode="External" Id="rIdHyperlink12" /><Relationship Type="http://schemas.openxmlformats.org/officeDocument/2006/relationships/hyperlink" Target="https://biomics.lab.nycu.edu.tw/dbPTM/statistics.php" TargetMode="External" Id="rIdHyperlink13" /><Relationship Type="http://schemas.openxmlformats.org/officeDocument/2006/relationships/hyperlink" Target="https://biomics.lab.nycu.edu.tw/dbPTM/statistics.php" TargetMode="External" Id="rIdHyperlink14" /><Relationship Type="http://schemas.openxmlformats.org/officeDocument/2006/relationships/hyperlink" Target="https://biomics.lab.nycu.edu.tw/dbPTM/statistics.php" TargetMode="External" Id="rIdHyperlink15" /><Relationship Type="http://schemas.openxmlformats.org/officeDocument/2006/relationships/hyperlink" Target="https://biomics.lab.nycu.edu.tw/dbSNO/statistics.php" TargetMode="External" Id="rIdHyperlink16" /><Relationship Type="http://schemas.openxmlformats.org/officeDocument/2006/relationships/hyperlink" Target="https://metosite.uma.es/api/summaries/count" TargetMode="External" Id="rIdHyperlink17" /><Relationship Type="http://schemas.openxmlformats.org/officeDocument/2006/relationships/hyperlink" Target="https://pmc.ncbi.nlm.nih.gov/articles/PMC6041944/" TargetMode="External" Id="rIdHyperlink18" /><Relationship Type="http://schemas.openxmlformats.org/officeDocument/2006/relationships/hyperlink" Target="https://proteomescout.research.virginia.edu/downloads" TargetMode="External" Id="rIdHyperlink19" /><Relationship Type="http://schemas.openxmlformats.org/officeDocument/2006/relationships/hyperlink" Target="https://proteomescout.research.virginia.edu/downloads" TargetMode="External" Id="rIdHyperlink20" /><Relationship Type="http://schemas.openxmlformats.org/officeDocument/2006/relationships/hyperlink" Target="https://www.ebi.ac.uk/ols4/ontologies/mod" TargetMode="External" Id="rIdHyperlink21" /><Relationship Type="http://schemas.openxmlformats.org/officeDocument/2006/relationships/hyperlink" Target="https://proteomescout.research.virginia.edu/downloads" TargetMode="External" Id="rIdHyperlink22" /><Relationship Type="http://schemas.openxmlformats.org/officeDocument/2006/relationships/hyperlink" Target="https://pmc.ncbi.nlm.nih.gov/articles/PMC9881069/" TargetMode="External" Id="rIdHyperlink23" /><Relationship Type="http://schemas.openxmlformats.org/officeDocument/2006/relationships/hyperlink" Target="https://biomics.lab.nycu.edu.tw/dbPTM/statistics.php" TargetMode="External" Id="rIdHyperlink24" /><Relationship Type="http://schemas.openxmlformats.org/officeDocument/2006/relationships/hyperlink" Target="https://biomics.lab.nycu.edu.tw/dbPTM/statistics.php" TargetMode="External" Id="rIdHyperlink25" /><Relationship Type="http://schemas.openxmlformats.org/officeDocument/2006/relationships/hyperlink" Target="https://biomics.lab.nycu.edu.tw/dbPTM/statistics.php" TargetMode="External" Id="rIdHyperlink26" /><Relationship Type="http://schemas.openxmlformats.org/officeDocument/2006/relationships/hyperlink" Target="https://proteomescout.research.virginia.edu/downloads" TargetMode="External" Id="rIdHyperlink27" /><Relationship Type="http://schemas.openxmlformats.org/officeDocument/2006/relationships/hyperlink" Target="https://proteomescout.research.virginia.edu/downloads" TargetMode="External" Id="rIdHyperlink28" /><Relationship Type="http://schemas.openxmlformats.org/officeDocument/2006/relationships/hyperlink" Target="https://proteomescout.research.virginia.edu/downloads" TargetMode="External" Id="rIdHyperlink29" /><Relationship Type="http://schemas.openxmlformats.org/officeDocument/2006/relationships/hyperlink" Target="https://proteomescout.research.virginia.edu/downloads" TargetMode="External" Id="rIdHyperlink30" /><Relationship Type="http://schemas.openxmlformats.org/officeDocument/2006/relationships/hyperlink" Target="https://ezcatdb.cbrc.pj.aist.go.jp/EzCatDB/Compound/data/C03306.html" TargetMode="External" Id="rIdHyperlink31" /><Relationship Type="http://schemas.openxmlformats.org/officeDocument/2006/relationships/hyperlink" Target="https://biomics.lab.nycu.edu.tw/dbPTM/statistics.php" TargetMode="External" Id="rIdHyperlink32" /><Relationship Type="http://schemas.openxmlformats.org/officeDocument/2006/relationships/hyperlink" Target="https://proteomescout.research.virginia.edu/downloads" TargetMode="External" Id="rIdHyperlink33" /><Relationship Type="http://schemas.openxmlformats.org/officeDocument/2006/relationships/hyperlink" Target="https://proteomescout.research.virginia.edu/downloads" TargetMode="External" Id="rIdHyperlink34" /><Relationship Type="http://schemas.openxmlformats.org/officeDocument/2006/relationships/hyperlink" Target="https://pydish.bio.info.hiroshima-cu.ac.jp/data/" TargetMode="External" Id="rIdHyperlink35" /><Relationship Type="http://schemas.openxmlformats.org/officeDocument/2006/relationships/hyperlink" Target="https://proteomescout.research.virginia.edu/downloads" TargetMode="External" Id="rIdHyperlink36" /><Relationship Type="http://schemas.openxmlformats.org/officeDocument/2006/relationships/hyperlink" Target="https://proteomescout.research.virginia.edu/downloads" TargetMode="External" Id="rIdHyperlink37" /><Relationship Type="http://schemas.openxmlformats.org/officeDocument/2006/relationships/hyperlink" Target="https://proteomescout.research.virginia.edu/downloads" TargetMode="External" Id="rIdHyperlink38" /><Relationship Type="http://schemas.openxmlformats.org/officeDocument/2006/relationships/hyperlink" Target="https://www.fpbase.org/" TargetMode="External" Id="rIdHyperlink39" /><Relationship Type="http://schemas.openxmlformats.org/officeDocument/2006/relationships/hyperlink" Target="https://biomics.lab.nycu.edu.tw/dbSNO/statistics.php" TargetMode="External" Id="rIdHyperlink40" /><Relationship Type="http://schemas.openxmlformats.org/officeDocument/2006/relationships/hyperlink" Target="https://pmc.ncbi.nlm.nih.gov/articles/PMC11919812/" TargetMode="External" Id="rIdHyperlink41" /><Relationship Type="http://schemas.openxmlformats.org/officeDocument/2006/relationships/hyperlink" Target="https://lantibase.weebly.com/" TargetMode="External" Id="rIdHyperlink42" /><Relationship Type="http://schemas.openxmlformats.org/officeDocument/2006/relationships/hyperlink" Target="https://pmc.ncbi.nlm.nih.gov/articles/PMC10135038/" TargetMode="External" Id="rIdHyperlink43" /><Relationship Type="http://schemas.openxmlformats.org/officeDocument/2006/relationships/hyperlink" Target="https://www.caspsites.org/about/" TargetMode="External" Id="rIdHyperlink44" /><Relationship Type="http://schemas.openxmlformats.org/officeDocument/2006/relationships/hyperlink" Target="https://inbase.ligsciss.com/index.php?r=site%2Findex" TargetMode="External" Id="rIdHyperlink45" /></Relationships>
</file>

<file path=xl/worksheets/sheet1.xml><?xml version="1.0" encoding="utf-8"?>
<x:worksheet xmlns:x="http://schemas.openxmlformats.org/spreadsheetml/2006/main" xmlns:r="http://schemas.openxmlformats.org/officeDocument/2006/relationships">
  <x:sheetViews>
    <x:sheetView showGridLines="0" workbookViewId="0"/>
  </x:sheetViews>
  <x:sheetFormatPr defaultRowHeight="15"/>
  <x:cols>
    <x:col min="1" max="1" width="25" hidden="0" customWidth="1"/>
    <x:col min="2" max="2" width="10.220000267028809" hidden="0" customWidth="1"/>
    <x:col min="3" max="3" width="25" hidden="0" customWidth="1"/>
    <x:col min="4" max="4" width="2.6700000762939453" hidden="0" customWidth="1"/>
    <x:col min="5" max="5" width="28.329999923706055" hidden="0" customWidth="1"/>
    <x:col min="6" max="6" width="10.220000267028809" hidden="0" customWidth="1"/>
    <x:col min="7" max="7" width="16.670000076293945" hidden="0" customWidth="1"/>
    <x:col min="8" max="8" width="32" hidden="0" customWidth="1"/>
  </x:cols>
  <x:sheetData>
    <x:row r="1" ht="31.5" customHeight="1">
      <x:c r="A1" s="71" t="str">
        <x:v>PTM family and database audit</x:v>
      </x:c>
      <x:c r="B1" s="71"/>
      <x:c r="C1" s="71"/>
      <x:c r="D1" s="71"/>
      <x:c r="E1" s="71"/>
      <x:c r="F1" s="71"/>
      <x:c r="G1" s="71"/>
      <x:c r="H1" s="71"/>
    </x:row>
    <x:row r="2" ht="21" customHeight="1">
      <x:c r="A2" s="72" t="str">
        <x:v>Operational, source-linked taxonomy. Evidence checked through 2026-08-14; all summary values are formula-derived.</x:v>
      </x:c>
      <x:c r="B2" s="72"/>
      <x:c r="C2" s="72"/>
      <x:c r="D2" s="72"/>
      <x:c r="E2" s="72"/>
      <x:c r="F2" s="72"/>
      <x:c r="G2" s="72"/>
      <x:c r="H2" s="72"/>
    </x:row>
    <x:row r="3">
      <x:c r="A3" s="62"/>
      <x:c r="B3" s="62"/>
      <x:c r="C3" s="62"/>
      <x:c r="D3" s="62"/>
      <x:c r="E3" s="62"/>
      <x:c r="F3" s="62"/>
      <x:c r="G3" s="62"/>
      <x:c r="H3" s="62"/>
    </x:row>
    <x:row r="4" ht="21" customHeight="1">
      <x:c r="A4" s="75" t="str">
        <x:v>Family counts and scope checks</x:v>
      </x:c>
      <x:c r="B4" s="75" t="str">
        <x:v>Headline and sensitivity counts</x:v>
      </x:c>
      <x:c r="C4" s="75" t="str">
        <x:v>Headline and sensitivity counts</x:v>
      </x:c>
      <x:c r="D4" s="64"/>
      <x:c r="E4" s="75" t="str">
        <x:v>Dedicated or narrow experimental-site coverage</x:v>
      </x:c>
      <x:c r="F4" s="75" t="str">
        <x:v>Dedicated / narrow experimental-site resource coverage</x:v>
      </x:c>
      <x:c r="G4" s="75" t="str">
        <x:v>Dedicated / narrow experimental-site resource coverage</x:v>
      </x:c>
      <x:c r="H4" s="75" t="str">
        <x:v>Dedicated / narrow experimental-site resource coverage</x:v>
      </x:c>
    </x:row>
    <x:row r="5" ht="22.5" customHeight="1">
      <x:c r="A5" s="76" t="str">
        <x:v>Operational families</x:v>
      </x:c>
      <x:c r="B5" s="92" t="n">
        <x:f>COUNTA('Family Ledger'!$A$2:$A$112)</x:f>
        <x:v>111</x:v>
      </x:c>
      <x:c r="C5" s="76" t="str">
        <x:v>inclusive scope; headline denominator</x:v>
      </x:c>
      <x:c r="D5" s="64"/>
      <x:c r="E5" s="76" t="str">
        <x:v>Current and maintained</x:v>
      </x:c>
      <x:c r="F5" s="92" t="n">
        <x:f>SUM('Coverage Matrix'!$G$2:$G$112)</x:f>
        <x:v>40</x:v>
      </x:c>
      <x:c r="G5" s="96" t="n">
        <x:f>F5/$B$5</x:f>
        <x:v>0.36036036036036034</x:v>
      </x:c>
      <x:c r="H5" s="76" t="str">
        <x:v>substantive update on/after 2021-08-14</x:v>
      </x:c>
    </x:row>
    <x:row r="6" ht="22.5" customHeight="1">
      <x:c r="A6" s="76" t="str">
        <x:v>Strict endogenous families</x:v>
      </x:c>
      <x:c r="B6" s="92" t="n">
        <x:f>SUM('Family Ledger'!$N$2:$N$112)</x:f>
        <x:v>110</x:v>
      </x:c>
      <x:c r="C6" s="76" t="str">
        <x:v>excludes exposure-only isonicotinylation</x:v>
      </x:c>
      <x:c r="D6" s="64"/>
      <x:c r="E6" s="76" t="str">
        <x:v>Live, including aging/static</x:v>
      </x:c>
      <x:c r="F6" s="92" t="n">
        <x:f>SUM('Coverage Matrix'!$F$2:$F$112)</x:f>
        <x:v>45</x:v>
      </x:c>
      <x:c r="G6" s="96" t="n">
        <x:f>F6/$B$5</x:f>
        <x:v>0.40540540540540543</x:v>
      </x:c>
      <x:c r="H6" s="76" t="str">
        <x:v>accessible, but may be scientifically stale</x:v>
      </x:c>
    </x:row>
    <x:row r="7" ht="22.5" customHeight="1">
      <x:c r="A7" s="76" t="str">
        <x:v>Established families</x:v>
      </x:c>
      <x:c r="B7" s="92" t="n">
        <x:f>SUM('Family Ledger'!$O$2:$O$112)</x:f>
        <x:v>101</x:v>
      </x:c>
      <x:c r="C7" s="76" t="str">
        <x:v>excludes emerging-but-validated families</x:v>
      </x:c>
      <x:c r="D7" s="64"/>
      <x:c r="E7" s="76" t="str">
        <x:v>Any qualifying mapping ever</x:v>
      </x:c>
      <x:c r="F7" s="92" t="n">
        <x:f>SUM('Coverage Matrix'!$E$2:$E$112)</x:f>
        <x:v>50</x:v>
      </x:c>
      <x:c r="G7" s="96" t="n">
        <x:f>F7/$B$5</x:f>
        <x:v>0.45045045045045046</x:v>
      </x:c>
      <x:c r="H7" s="76" t="str">
        <x:v>includes historical or unavailable resources</x:v>
      </x:c>
    </x:row>
    <x:row r="8" ht="22.5" customHeight="1">
      <x:c r="A8" s="76" t="str">
        <x:v>Excluding backbone processing</x:v>
      </x:c>
      <x:c r="B8" s="92" t="n">
        <x:f>SUM('Family Ledger'!$P$2:$P$112)</x:f>
        <x:v>109</x:v>
      </x:c>
      <x:c r="C8" s="76" t="str">
        <x:v>excludes cleavage and splicing</x:v>
      </x:c>
      <x:c r="D8" s="64"/>
      <x:c r="E8" s="76" t="str">
        <x:v>No current mapping</x:v>
      </x:c>
      <x:c r="F8" s="92" t="n">
        <x:f>$B$5-F5</x:f>
        <x:v>71</x:v>
      </x:c>
      <x:c r="G8" s="96" t="n">
        <x:f>F8/$B$5</x:f>
        <x:v>0.6396396396396397</x:v>
      </x:c>
      <x:c r="H8" s="76" t="str">
        <x:v>strict current gap</x:v>
      </x:c>
    </x:row>
    <x:row r="9" ht="22.5" customHeight="1">
      <x:c r="A9" s="76" t="str">
        <x:v>Excluding cofactor/chromophore maturation</x:v>
      </x:c>
      <x:c r="B9" s="92" t="n">
        <x:f>SUM('Family Ledger'!$Q$2:$Q$112)</x:f>
        <x:v>99</x:v>
      </x:c>
      <x:c r="C9" s="76" t="str">
        <x:v>excludes cofactor/chromophore maturation</x:v>
      </x:c>
      <x:c r="D9" s="64"/>
      <x:c r="E9" s="76" t="str">
        <x:v>No qualifying mapping found</x:v>
      </x:c>
      <x:c r="F9" s="92" t="n">
        <x:f>$B$5-F7</x:f>
        <x:v>61</x:v>
      </x:c>
      <x:c r="G9" s="96" t="n">
        <x:f>F9/$B$5</x:f>
        <x:v>0.5495495495495496</x:v>
      </x:c>
      <x:c r="H9" s="76" t="str">
        <x:v>strongest audited absence claim</x:v>
      </x:c>
    </x:row>
    <x:row r="10" ht="22.5" customHeight="1">
      <x:c r="A10" s="76" t="str">
        <x:v>Glycosylation split by C/N/O/S linkage</x:v>
      </x:c>
      <x:c r="B10" s="92" t="n">
        <x:f>B5+3</x:f>
        <x:v>114</x:v>
      </x:c>
      <x:c r="C10" s="76" t="str">
        <x:v>alternative linkage-resolved granularity</x:v>
      </x:c>
      <x:c r="D10" s="64"/>
      <x:c r="E10" s="64"/>
      <x:c r="F10" s="87"/>
      <x:c r="G10" s="64"/>
      <x:c r="H10" s="64"/>
    </x:row>
    <x:row r="11" ht="22.5" customHeight="1">
      <x:c r="A11" s="64"/>
      <x:c r="B11" s="93"/>
      <x:c r="C11" s="64"/>
      <x:c r="D11" s="64"/>
      <x:c r="E11" s="64"/>
      <x:c r="F11" s="87"/>
      <x:c r="G11" s="64"/>
      <x:c r="H11" s="64"/>
    </x:row>
    <x:row r="12" ht="22.5" customHeight="1">
      <x:c r="A12" s="75" t="str">
        <x:v>Families by chemistry class</x:v>
      </x:c>
      <x:c r="B12" s="94" t="str">
        <x:v>Operational families by primary class</x:v>
      </x:c>
      <x:c r="C12" s="75" t="str">
        <x:v>Operational families by primary class</x:v>
      </x:c>
      <x:c r="D12" s="64"/>
      <x:c r="E12" s="75" t="str">
        <x:v>Resources audited</x:v>
      </x:c>
      <x:c r="F12" s="88" t="str">
        <x:v>Specialized / evidence resources deep-audited</x:v>
      </x:c>
      <x:c r="G12" s="75" t="str">
        <x:v>Specialized / evidence resources deep-audited</x:v>
      </x:c>
      <x:c r="H12" s="75" t="str">
        <x:v>Specialized / evidence resources deep-audited</x:v>
      </x:c>
    </x:row>
    <x:row r="13" ht="22.5" customHeight="1">
      <x:c r="A13" s="105" t="str">
        <x:v>Primary class</x:v>
      </x:c>
      <x:c r="B13" s="107" t="str">
        <x:v>Families</x:v>
      </x:c>
      <x:c r="C13" s="108" t="str">
        <x:v>Share</x:v>
      </x:c>
      <x:c r="D13" s="64"/>
      <x:c r="E13" s="76" t="str">
        <x:v>Resources audited</x:v>
      </x:c>
      <x:c r="F13" s="92" t="n">
        <x:f>COUNTA('Resource Roster'!$A$2:$A$71)</x:f>
        <x:v>70</x:v>
      </x:c>
      <x:c r="G13" s="99" t="str">
        <x:v>not a field-wide DB count</x:v>
      </x:c>
      <x:c r="H13" s="99"/>
    </x:row>
    <x:row r="14" ht="22.5" customHeight="1">
      <x:c r="A14" s="76" t="str">
        <x:v>Acylation and carbonyl additions</x:v>
      </x:c>
      <x:c r="B14" s="92" t="n">
        <x:f>COUNTIF('Family Ledger'!$C$2:$C$112,A14)</x:f>
        <x:v>22</x:v>
      </x:c>
      <x:c r="C14" s="80" t="n">
        <x:f>B14/$B$5</x:f>
        <x:v>0.1981981981981982</x:v>
      </x:c>
      <x:c r="D14" s="64"/>
      <x:c r="E14" s="76" t="str">
        <x:v>Current / active / atlas / dataset</x:v>
      </x:c>
      <x:c r="F14" s="92" t="n">
        <x:f>COUNTIF('Resource Roster'!$E$2:$E$71,"ACTIVE_MAINTAINED")+COUNTIF('Resource Roster'!$E$2:$E$71,"ACTIVE_ATLAS")+COUNTIF('Resource Roster'!$E$2:$E$71,"ACTIVE_MIXED")+COUNTIF('Resource Roster'!$E$2:$E$71,"SITE_DATASET")</x:f>
        <x:v>30</x:v>
      </x:c>
      <x:c r="G14" s="99" t="str">
        <x:v>current snapshot</x:v>
      </x:c>
      <x:c r="H14" s="99"/>
    </x:row>
    <x:row r="15" ht="22.5" customHeight="1">
      <x:c r="A15" s="76" t="str">
        <x:v>Small-group and nucleotide additions</x:v>
      </x:c>
      <x:c r="B15" s="92" t="n">
        <x:f>COUNTIF('Family Ledger'!$C$2:$C$112,A15)</x:f>
        <x:v>18</x:v>
      </x:c>
      <x:c r="C15" s="80" t="n">
        <x:f>B15/$B$5</x:f>
        <x:v>0.16216216216216217</x:v>
      </x:c>
      <x:c r="D15" s="64"/>
      <x:c r="E15" s="76" t="str">
        <x:v>Live but aging / static</x:v>
      </x:c>
      <x:c r="F15" s="92" t="n">
        <x:f>COUNTIF('Resource Roster'!$E$2:$E$71,"LIVE_AGING")+COUNTIF('Resource Roster'!$E$2:$E$71,"LIVE_STATIC")</x:f>
        <x:v>25</x:v>
      </x:c>
      <x:c r="G15" s="99" t="str">
        <x:v>endpoint or static file still accessible</x:v>
      </x:c>
      <x:c r="H15" s="99"/>
    </x:row>
    <x:row r="16" ht="22.5" customHeight="1">
      <x:c r="A16" s="76" t="str">
        <x:v>Protein, peptide, and nucleic-acid conjugation</x:v>
      </x:c>
      <x:c r="B16" s="92" t="n">
        <x:f>COUNTIF('Family Ledger'!$C$2:$C$112,A16)</x:f>
        <x:v>17</x:v>
      </x:c>
      <x:c r="C16" s="80" t="n">
        <x:f>B16/$B$5</x:f>
        <x:v>0.15315315315315314</x:v>
      </x:c>
      <x:c r="D16" s="64"/>
      <x:c r="E16" s="76" t="str">
        <x:v>Legacy / unavailable</x:v>
      </x:c>
      <x:c r="F16" s="92" t="n">
        <x:f>COUNTIF('Resource Roster'!$E$2:$E$71,"UNAVAILABLE")+COUNTIF('Resource Roster'!$E$2:$E$71,"SUPERSEDED_LEGACY")</x:f>
        <x:v>15</x:v>
      </x:c>
      <x:c r="G16" s="99" t="str">
        <x:v>historical context only</x:v>
      </x:c>
      <x:c r="H16" s="99"/>
    </x:row>
    <x:row r="17" ht="22.5" customHeight="1">
      <x:c r="A17" s="76" t="str">
        <x:v>Redox and reactive chemistry</x:v>
      </x:c>
      <x:c r="B17" s="92" t="n">
        <x:f>COUNTIF('Family Ledger'!$C$2:$C$112,A17)</x:f>
        <x:v>12</x:v>
      </x:c>
      <x:c r="C17" s="80" t="n">
        <x:f>B17/$B$5</x:f>
        <x:v>0.10810810810810811</x:v>
      </x:c>
      <x:c r="D17" s="64"/>
      <x:c r="E17" s="64"/>
      <x:c r="F17" s="97"/>
      <x:c r="G17" s="100"/>
      <x:c r="H17" s="100"/>
    </x:row>
    <x:row r="18" ht="22.5" customHeight="1">
      <x:c r="A18" s="76" t="str">
        <x:v>Residue and terminal remodeling</x:v>
      </x:c>
      <x:c r="B18" s="92" t="n">
        <x:f>COUNTIF('Family Ledger'!$C$2:$C$112,A18)</x:f>
        <x:v>12</x:v>
      </x:c>
      <x:c r="C18" s="80" t="n">
        <x:f>B18/$B$5</x:f>
        <x:v>0.10810810810810811</x:v>
      </x:c>
      <x:c r="D18" s="64"/>
      <x:c r="E18" s="75" t="str">
        <x:v>Why published totals differ</x:v>
      </x:c>
      <x:c r="F18" s="98" t="str">
        <x:v>Why published totals differ</x:v>
      </x:c>
      <x:c r="G18" s="101" t="str">
        <x:v>Why published totals differ</x:v>
      </x:c>
      <x:c r="H18" s="101" t="str">
        <x:v>Why published totals differ</x:v>
      </x:c>
    </x:row>
    <x:row r="19" ht="22.5" customHeight="1">
      <x:c r="A19" s="76" t="str">
        <x:v>Covalent cofactor and chromophore maturation</x:v>
      </x:c>
      <x:c r="B19" s="92" t="n">
        <x:f>COUNTIF('Family Ledger'!$C$2:$C$112,A19)</x:f>
        <x:v>12</x:v>
      </x:c>
      <x:c r="C19" s="80" t="n">
        <x:f>B19/$B$5</x:f>
        <x:v>0.10810810810810811</x:v>
      </x:c>
      <x:c r="D19" s="64"/>
      <x:c r="E19" s="110" t="str">
        <x:v>Source</x:v>
      </x:c>
      <x:c r="F19" s="111" t="str">
        <x:v>Count</x:v>
      </x:c>
      <x:c r="G19" s="110" t="str">
        <x:v>Object counted</x:v>
      </x:c>
      <x:c r="H19" s="110" t="str">
        <x:v>Primary URL</x:v>
      </x:c>
    </x:row>
    <x:row r="20" ht="27" customHeight="1">
      <x:c r="A20" s="76" t="str">
        <x:v>Lipidation</x:v>
      </x:c>
      <x:c r="B20" s="92" t="n">
        <x:f>COUNTIF('Family Ledger'!$C$2:$C$112,A20)</x:f>
        <x:v>8</x:v>
      </x:c>
      <x:c r="C20" s="80" t="n">
        <x:f>B20/$B$5</x:f>
        <x:v>0.07207207207207207</x:v>
      </x:c>
      <x:c r="D20" s="64"/>
      <x:c r="E20" s="76" t="str">
        <x:v>dbPTM 2025 paper</x:v>
      </x:c>
      <x:c r="F20" s="92" t="n">
        <x:v>98</x:v>
      </x:c>
      <x:c r="G20" s="99" t="str">
        <x:v>reported PTM types</x:v>
      </x:c>
      <x:c r="H20" s="182" t="str">
        <x:v>https://academic.oup.com/nar/article/53/D1/D377/7889255</x:v>
      </x:c>
    </x:row>
    <x:row r="21" ht="27" customHeight="1">
      <x:c r="A21" s="76" t="str">
        <x:v>Endogenous crosslinking</x:v>
      </x:c>
      <x:c r="B21" s="92" t="n">
        <x:f>COUNTIF('Family Ledger'!$C$2:$C$112,A21)</x:f>
        <x:v>6</x:v>
      </x:c>
      <x:c r="C21" s="80" t="n">
        <x:f>B21/$B$5</x:f>
        <x:v>0.05405405405405406</x:v>
      </x:c>
      <x:c r="D21" s="64"/>
      <x:c r="E21" s="76" t="str">
        <x:v>ProteomeScout 2026 snapshot</x:v>
      </x:c>
      <x:c r="F21" s="92" t="n">
        <x:v>237</x:v>
      </x:c>
      <x:c r="G21" s="99" t="str">
        <x:v>normalized empirical modification labels</x:v>
      </x:c>
      <x:c r="H21" s="182" t="str">
        <x:v>https://proteomescout.wustl.edu/</x:v>
      </x:c>
    </x:row>
    <x:row r="22" ht="27" customHeight="1">
      <x:c r="A22" s="76" t="str">
        <x:v>Glycosylation and glycation</x:v>
      </x:c>
      <x:c r="B22" s="92" t="n">
        <x:f>COUNTIF('Family Ledger'!$C$2:$C$112,A22)</x:f>
        <x:v>2</x:v>
      </x:c>
      <x:c r="C22" s="80" t="n">
        <x:f>B22/$B$5</x:f>
        <x:v>0.018018018018018018</x:v>
      </x:c>
      <x:c r="D22" s="64"/>
      <x:c r="E22" s="76" t="str">
        <x:v>PSI-MOD 1.038.0</x:v>
      </x:c>
      <x:c r="F22" s="92" t="n">
        <x:v>1971</x:v>
      </x:c>
      <x:c r="G22" s="99" t="str">
        <x:v>active ontology terms</x:v>
      </x:c>
      <x:c r="H22" s="182" t="str">
        <x:v>https://github.com/HUPO-PSI/psi-mod-CV</x:v>
      </x:c>
    </x:row>
    <x:row r="23" ht="22.5" customHeight="1">
      <x:c r="A23" s="76" t="str">
        <x:v>Backbone processing and rearrangement</x:v>
      </x:c>
      <x:c r="B23" s="92" t="n">
        <x:f>COUNTIF('Family Ledger'!$C$2:$C$112,A23)</x:f>
        <x:v>2</x:v>
      </x:c>
      <x:c r="C23" s="80" t="n">
        <x:f>B23/$B$5</x:f>
        <x:v>0.018018018018018018</x:v>
      </x:c>
      <x:c r="D23" s="64"/>
      <x:c r="E23" s="64"/>
      <x:c r="F23" s="64"/>
      <x:c r="G23" s="64"/>
      <x:c r="H23" s="64"/>
    </x:row>
    <x:row r="24">
      <x:c r="A24" s="62"/>
      <x:c r="B24" s="62"/>
      <x:c r="C24" s="62"/>
      <x:c r="D24" s="62"/>
      <x:c r="E24" s="62"/>
      <x:c r="F24" s="62"/>
      <x:c r="G24" s="62"/>
      <x:c r="H24" s="62"/>
    </x:row>
    <x:row r="25" ht="16.5" customHeight="1">
      <x:c r="A25" s="114" t="str">
        <x:v>Interpretation. The 111 families are an operational count under the declared covalent scope—not a universal biological constant. Database labels and ontology terms use different denominators. “No mapping found” means none met the audit rule; it does not imply biological irrelevance.</x:v>
      </x:c>
      <x:c r="B25" s="114"/>
      <x:c r="C25" s="114"/>
      <x:c r="D25" s="114"/>
      <x:c r="E25" s="114"/>
      <x:c r="F25" s="114"/>
      <x:c r="G25" s="114"/>
      <x:c r="H25" s="114"/>
    </x:row>
    <x:row r="26" ht="16.5" customHeight="1">
      <x:c r="A26" s="114"/>
      <x:c r="B26" s="114"/>
      <x:c r="C26" s="114"/>
      <x:c r="D26" s="114"/>
      <x:c r="E26" s="114"/>
      <x:c r="F26" s="114"/>
      <x:c r="G26" s="114"/>
      <x:c r="H26" s="114"/>
    </x:row>
    <x:row r="27" ht="16.5" customHeight="1">
      <x:c r="A27" s="115"/>
      <x:c r="B27" s="115"/>
      <x:c r="C27" s="115"/>
      <x:c r="D27" s="115"/>
      <x:c r="E27" s="115"/>
      <x:c r="F27" s="115"/>
      <x:c r="G27" s="115"/>
      <x:c r="H27" s="115"/>
    </x:row>
  </x:sheetData>
  <x:mergeCells>
    <x:mergeCell ref="A1:H1"/>
    <x:mergeCell ref="A2:H2"/>
    <x:mergeCell ref="A4:C4"/>
    <x:mergeCell ref="A12:C12"/>
    <x:mergeCell ref="E4:H4"/>
    <x:mergeCell ref="E12:H12"/>
    <x:mergeCell ref="E18:H18"/>
    <x:mergeCell ref="A25:H27"/>
  </x:mergeCells>
  <x:hyperlinks>
    <x:hyperlink ref="H20" r:id="rIdHyperlink1"/>
    <x:hyperlink ref="H21" r:id="rIdHyperlink2"/>
    <x:hyperlink ref="H22" r:id="rIdHyperlink3"/>
  </x:hyperlink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43.33000183105469" hidden="0" customWidth="1"/>
    <x:col min="3" max="3" width="33.33000183105469" hidden="0" customWidth="1"/>
    <x:col min="4" max="4" width="34.439998626708984" hidden="0" customWidth="1"/>
    <x:col min="5" max="5" width="27.780000686645508" hidden="0" customWidth="1"/>
  </x:cols>
  <x:sheetData>
    <x:row r="1" ht="30" customHeight="1">
      <x:c r="A1" s="120" t="str">
        <x:v>Methods and audit rules</x:v>
      </x:c>
      <x:c r="B1" s="120"/>
      <x:c r="C1" s="120"/>
      <x:c r="D1" s="120"/>
      <x:c r="E1" s="120"/>
    </x:row>
    <x:row r="2">
      <x:c r="A2" s="117"/>
      <x:c r="B2" s="117"/>
      <x:c r="C2" s="117"/>
      <x:c r="D2" s="117"/>
      <x:c r="E2" s="117"/>
    </x:row>
    <x:row r="3" ht="22.5" customHeight="1">
      <x:c r="A3" s="122" t="str">
        <x:v>Topic</x:v>
      </x:c>
      <x:c r="B3" s="122" t="str">
        <x:v>Rule</x:v>
      </x:c>
      <x:c r="C3" s="122" t="str">
        <x:v>Why it matters</x:v>
      </x:c>
      <x:c r="D3" s="122" t="str">
        <x:v>Primary sources</x:v>
      </x:c>
      <x:c r="E3" s="122" t="str">
        <x:v>Boundary / QA</x:v>
      </x:c>
    </x:row>
    <x:row r="4" ht="45" customHeight="1">
      <x:c r="A4" s="124" t="str">
        <x:v>Headline scope</x:v>
      </x:c>
      <x:c r="B4" s="124" t="str">
        <x:v>Stable covalent end states plus post-translational processing, endogenous crosslinks, stable in-vivo nonenzymatic damage, and covalent cofactor/chromophore maturation.</x:v>
      </x:c>
      <x:c r="C4" s="124" t="str">
        <x:v>Matches the scientific question while preserving sensitivity analyses.</x:v>
      </x:c>
      <x:c r="D4" s="124" t="str">
        <x:v>Family Ledger — Primary source URLs</x:v>
      </x:c>
      <x:c r="E4" s="124" t="str">
        <x:v>111 operational families; not universal.</x:v>
      </x:c>
    </x:row>
    <x:row r="5" ht="45" customHeight="1">
      <x:c r="A5" s="125" t="str">
        <x:v>Family normalization</x:v>
      </x:c>
      <x:c r="B5" s="125" t="str">
        <x:v>Residue, linkage, donor, isomer, sugar, and chain identity are child fields unless they create a distinct installed covalent graph or biological mechanism.</x:v>
      </x:c>
      <x:c r="C5" s="125" t="str">
        <x:v>Prevents database naming granularity from inflating the denominator.</x:v>
      </x:c>
      <x:c r="D5" s="125" t="str">
        <x:v>PSI-MOD; UniProt PTM vocabulary; dbPTM; literature</x:v>
      </x:c>
      <x:c r="E5" s="125" t="str">
        <x:v>One primary class per family.</x:v>
      </x:c>
    </x:row>
    <x:row r="6" ht="45" customHeight="1">
      <x:c r="A6" s="125" t="str">
        <x:v>Evidence tiers</x:v>
      </x:c>
      <x:c r="B6" s="125" t="str">
        <x:v>Established and emerging-but-validated are retained; exposure-only chemistry is excluded by the strict endogenous sensitivity.</x:v>
      </x:c>
      <x:c r="C6" s="125" t="str">
        <x:v>Separates biological establishment from recency and context.</x:v>
      </x:c>
      <x:c r="D6" s="125" t="str">
        <x:v>Row-level primary URLs</x:v>
      </x:c>
      <x:c r="E6" s="125" t="str">
        <x:v>101 established-only; 110 strict endogenous.</x:v>
      </x:c>
    </x:row>
    <x:row r="7" ht="45" customHeight="1">
      <x:c r="A7" s="125" t="str">
        <x:v>Current active coverage</x:v>
      </x:c>
      <x:c r="B7" s="125" t="str">
        <x:v>Dedicated or chemically narrow experimental site resource with substantive update on/after 2021-08-14.</x:v>
      </x:c>
      <x:c r="C7" s="125" t="str">
        <x:v>Reproducible five-year freshness rule.</x:v>
      </x:c>
      <x:c r="D7" s="125" t="str">
        <x:v>Coverage Matrix</x:v>
      </x:c>
      <x:c r="E7" s="125" t="str">
        <x:v>Predictors and relation-only resources do not qualify.</x:v>
      </x:c>
    </x:row>
    <x:row r="8" ht="45" customHeight="1">
      <x:c r="A8" s="125" t="str">
        <x:v>Live coverage</x:v>
      </x:c>
      <x:c r="B8" s="125" t="str">
        <x:v>Official endpoint or downloadable dataset responds, even if aging/static.</x:v>
      </x:c>
      <x:c r="C8" s="125" t="str">
        <x:v>Separates accessibility from scientific maintenance.</x:v>
      </x:c>
      <x:c r="D8" s="125" t="str">
        <x:v>Resource Roster</x:v>
      </x:c>
      <x:c r="E8" s="125" t="str">
        <x:v>Live does not mean current.</x:v>
      </x:c>
    </x:row>
    <x:row r="9" ht="45" customHeight="1">
      <x:c r="A9" s="125" t="str">
        <x:v>Ever coverage</x:v>
      </x:c>
      <x:c r="B9" s="125" t="str">
        <x:v>Includes historical, unavailable, and superseded family-specific resources.</x:v>
      </x:c>
      <x:c r="C9" s="125" t="str">
        <x:v>Captures whether the field ever built a specialized resource.</x:v>
      </x:c>
      <x:c r="D9" s="125" t="str">
        <x:v>Coverage Matrix</x:v>
      </x:c>
      <x:c r="E9" s="125" t="str">
        <x:v>Not a current-access claim.</x:v>
      </x:c>
    </x:row>
    <x:row r="10" ht="45" customHeight="1">
      <x:c r="A10" s="125" t="str">
        <x:v>Generic integrators</x:v>
      </x:c>
      <x:c r="B10" s="125" t="str">
        <x:v>UniProt, dbPTM, and broad aggregators support taxonomy/evidence but do not automatically satisfy dedicated-family coverage.</x:v>
      </x:c>
      <x:c r="C10" s="125" t="str">
        <x:v>Avoids treating a general repository as a dedicated DB for every row it contains.</x:v>
      </x:c>
      <x:c r="D10" s="125" t="str">
        <x:v>dbPTM 2025; UniProt 2026_02</x:v>
      </x:c>
      <x:c r="E10" s="125" t="str">
        <x:v>Recorded in Resource class and Coverage decision.</x:v>
      </x:c>
    </x:row>
    <x:row r="11" ht="45" customHeight="1">
      <x:c r="A11" s="125" t="str">
        <x:v>Counts</x:v>
      </x:c>
      <x:c r="B11" s="125" t="str">
        <x:v>Sites, proteins, structures, events, associations, and records remain separate units.</x:v>
      </x:c>
      <x:c r="C11" s="125" t="str">
        <x:v>These denominators are not additive or interchangeable.</x:v>
      </x:c>
      <x:c r="D11" s="125" t="str">
        <x:v>Verified Totals</x:v>
      </x:c>
      <x:c r="E11" s="125" t="str">
        <x:v>No cross-resource summation.</x:v>
      </x:c>
    </x:row>
    <x:row r="12" ht="45" customHeight="1">
      <x:c r="A12" s="125" t="str">
        <x:v>Ontology context</x:v>
      </x:c>
      <x:c r="B12" s="125" t="str">
        <x:v>PSI-MOD active terms and ProteomeScout labels are comparators, not family counts.</x:v>
      </x:c>
      <x:c r="C12" s="125" t="str">
        <x:v>They enumerate different object types and granularity.</x:v>
      </x:c>
      <x:c r="D12" s="125" t="str">
        <x:v>PSI-MOD 1.038.0; ProteomeScout 2026-06-02</x:v>
      </x:c>
      <x:c r="E12" s="125" t="str">
        <x:v>Displayed as a count ladder, not a union.</x:v>
      </x:c>
    </x:row>
    <x:row r="13" ht="45" customHeight="1">
      <x:c r="A13" s="125" t="str">
        <x:v>Cutoff</x:v>
      </x:c>
      <x:c r="B13" s="125" t="str">
        <x:v>Online evidence checked through 2026-08-14.</x:v>
      </x:c>
      <x:c r="C13" s="125" t="str">
        <x:v>Binds drift-prone database status to a date.</x:v>
      </x:c>
      <x:c r="D13" s="125" t="str">
        <x:v>Per-row snapshot/access fields</x:v>
      </x:c>
      <x:c r="E13" s="125" t="str">
        <x:v>Future releases may change coverage.</x:v>
      </x:c>
    </x:row>
    <x:row r="14" ht="45" customHeight="1">
      <x:c r="A14" s="126" t="str">
        <x:v>Reproducibility</x:v>
      </x:c>
      <x:c r="B14" s="126" t="str">
        <x:v>Final ledger, coverage matrix, roster, totals, rare-family audit, and split gap audits are preserved in this workbook and the output folder.</x:v>
      </x:c>
      <x:c r="C14" s="126" t="str">
        <x:v>Allows every headline number to be regenerated.</x:v>
      </x:c>
      <x:c r="D14" s="126" t="str">
        <x:v>Summary formulas and slide summary JSON</x:v>
      </x:c>
      <x:c r="E14" s="126" t="str">
        <x:v>Headline sources are the 111-row final ledger, coverage matrix, and roster; legacy gap IDs are trace-only.</x:v>
      </x:c>
    </x:row>
  </x:sheetData>
  <x:mergeCells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 xmlns:r="http://schemas.openxmlformats.org/officeDocument/2006/relationships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9.109999656677246" hidden="0" customWidth="1"/>
    <x:col min="2" max="2" width="23.329999923706055" hidden="0" customWidth="1"/>
    <x:col min="3" max="3" width="21.110000610351562" hidden="0" customWidth="1"/>
    <x:col min="4" max="4" width="8.670000076293945" hidden="0" customWidth="1"/>
    <x:col min="5" max="5" width="13.109999656677246" hidden="0" customWidth="1"/>
    <x:col min="6" max="6" width="12.220000267028809" hidden="0" customWidth="1"/>
    <x:col min="7" max="7" width="36.66999816894531" hidden="0" customWidth="1"/>
    <x:col min="8" max="8" width="24.440000534057617" hidden="0" customWidth="1"/>
    <x:col min="9" max="9" width="30" hidden="0" customWidth="1"/>
    <x:col min="10" max="10" width="23.329999923706055" hidden="0" customWidth="1"/>
    <x:col min="11" max="11" width="24.440000534057617" hidden="0" customWidth="1"/>
    <x:col min="12" max="12" width="34.439998626708984" hidden="0" customWidth="1"/>
    <x:col min="13" max="13" width="10" hidden="0" customWidth="1"/>
    <x:col min="14" max="14" width="11.670000076293945" hidden="0" customWidth="1"/>
    <x:col min="15" max="15" width="11.670000076293945" hidden="0" customWidth="1"/>
    <x:col min="16" max="16" width="12.4399995803833" hidden="0" customWidth="1"/>
    <x:col min="17" max="17" width="16.110000610351562" hidden="0" customWidth="1"/>
    <x:col min="18" max="18" width="33.33000183105469" hidden="0" customWidth="1"/>
  </x:cols>
  <x:sheetData>
    <x:row r="1" ht="33" customHeight="1">
      <x:c r="A1" s="135" t="str">
        <x:v>Family ID</x:v>
      </x:c>
      <x:c r="B1" s="135" t="str">
        <x:v>PTM family</x:v>
      </x:c>
      <x:c r="C1" s="135" t="str">
        <x:v>Primary chemistry class</x:v>
      </x:c>
      <x:c r="D1" s="135" t="str">
        <x:v>Headline</x:v>
      </x:c>
      <x:c r="E1" s="135" t="str">
        <x:v>Scope tier</x:v>
      </x:c>
      <x:c r="F1" s="135" t="str">
        <x:v>Evidence tier</x:v>
      </x:c>
      <x:c r="G1" s="135" t="str">
        <x:v>Operational definition</x:v>
      </x:c>
      <x:c r="H1" s="135" t="str">
        <x:v>Children / aliases</x:v>
      </x:c>
      <x:c r="I1" s="135" t="str">
        <x:v>Normalization decision</x:v>
      </x:c>
      <x:c r="J1" s="135" t="str">
        <x:v>Inclusion basis</x:v>
      </x:c>
      <x:c r="K1" s="135" t="str">
        <x:v>Example terms</x:v>
      </x:c>
      <x:c r="L1" s="135" t="str">
        <x:v>Primary source URLs</x:v>
      </x:c>
      <x:c r="M1" s="135" t="str">
        <x:v>Confidence</x:v>
      </x:c>
      <x:c r="N1" s="135" t="str">
        <x:v>Strict endogenous</x:v>
      </x:c>
      <x:c r="O1" s="135" t="str">
        <x:v>Established only</x:v>
      </x:c>
      <x:c r="P1" s="135" t="str">
        <x:v>Excluding processing</x:v>
      </x:c>
      <x:c r="Q1" s="135" t="str">
        <x:v>Excluding cofactor maturation</x:v>
      </x:c>
      <x:c r="R1" s="135" t="str">
        <x:v>Notes</x:v>
      </x:c>
    </x:row>
    <x:row r="2" ht="31.5" customHeight="1">
      <x:c r="A2" s="145" t="str">
        <x:v>ADJ001</x:v>
      </x:c>
      <x:c r="B2" s="146" t="str">
        <x:v>2-Hydroxyisobutyrylation</x:v>
      </x:c>
      <x:c r="C2" s="146" t="str">
        <x:v>Acylation and carbonyl additions</x:v>
      </x:c>
      <x:c r="D2" s="147" t="n">
        <x:v>1</x:v>
      </x:c>
      <x:c r="E2" s="146" t="str">
        <x:v>inclusive_biological</x:v>
      </x:c>
      <x:c r="F2" s="146" t="str">
        <x:v>established</x:v>
      </x:c>
      <x:c r="G2" s="146" t="str">
        <x:v>Stable covalent acyl-derived end state; the installed acyl graph defines the family, while residue and stereochemistry are child fields.</x:v>
      </x:c>
      <x:c r="H2" s="146" t="str"/>
      <x:c r="I2" s="146" t="str">
        <x:v>KEPT as a chemically/biologically distinct installed end state</x:v>
      </x:c>
      <x:c r="J2" s="146" t="str">
        <x:v>dbPTM live named end state</x:v>
      </x:c>
      <x:c r="K2" s="146" t="str">
        <x:v>lysine 2-hydroxyisobutyrylation; Khib</x:v>
      </x:c>
      <x:c r="L2" s="183" t="str">
        <x:v>https://biomics.lab.nycu.edu.tw/dbPTM/statistics.php | https://cplm.biocuckoo.cn/</x:v>
      </x:c>
      <x:c r="M2" s="147" t="str">
        <x:v>high</x:v>
      </x:c>
      <x:c r="N2" s="147" t="n">
        <x:v>1</x:v>
      </x:c>
      <x:c r="O2" s="147" t="n">
        <x:v>1</x:v>
      </x:c>
      <x:c r="P2" s="147" t="n">
        <x:v>1</x:v>
      </x:c>
      <x:c r="Q2" s="147" t="n">
        <x:v>1</x:v>
      </x:c>
      <x:c r="R2" s="146" t="str"/>
    </x:row>
    <x:row r="3" ht="31.5" customHeight="1">
      <x:c r="A3" s="157" t="str">
        <x:v>ADJ002</x:v>
      </x:c>
      <x:c r="B3" s="158" t="str">
        <x:v>3-Hydroxy-3-methylglutarylation</x:v>
      </x:c>
      <x:c r="C3" s="158" t="str">
        <x:v>Acylation and carbonyl additions</x:v>
      </x:c>
      <x:c r="D3" s="159" t="n">
        <x:v>1</x:v>
      </x:c>
      <x:c r="E3" s="158" t="str">
        <x:v>inclusive_biological</x:v>
      </x:c>
      <x:c r="F3" s="158" t="str">
        <x:v>established</x:v>
      </x:c>
      <x:c r="G3" s="158" t="str">
        <x:v>Stable covalent acyl-derived end state; the installed acyl graph defines the family, while residue and stereochemistry are child fields.</x:v>
      </x:c>
      <x:c r="H3" s="158" t="str"/>
      <x:c r="I3" s="158" t="str">
        <x:v>KEPT as a chemically/biologically distinct installed end state</x:v>
      </x:c>
      <x:c r="J3" s="158" t="str">
        <x:v>CPLM 4.0 named acylation</x:v>
      </x:c>
      <x:c r="K3" s="158" t="str">
        <x:v>HMGylation; KHMG</x:v>
      </x:c>
      <x:c r="L3" s="184" t="str">
        <x:v>https://cplm.biocuckoo.cn/ | https://doi.org/10.1091/mbc.E17-05-0301</x:v>
      </x:c>
      <x:c r="M3" s="159" t="str">
        <x:v>high</x:v>
      </x:c>
      <x:c r="N3" s="159" t="n">
        <x:v>1</x:v>
      </x:c>
      <x:c r="O3" s="159" t="n">
        <x:v>1</x:v>
      </x:c>
      <x:c r="P3" s="159" t="n">
        <x:v>1</x:v>
      </x:c>
      <x:c r="Q3" s="159" t="n">
        <x:v>1</x:v>
      </x:c>
      <x:c r="R3" s="158" t="str">
        <x:v>added in correction pass from CPLM 4.0</x:v>
      </x:c>
    </x:row>
    <x:row r="4" ht="31.5" customHeight="1">
      <x:c r="A4" s="149" t="str">
        <x:v>ADJ003</x:v>
      </x:c>
      <x:c r="B4" s="150" t="str">
        <x:v>3-Methylglutaconylation</x:v>
      </x:c>
      <x:c r="C4" s="150" t="str">
        <x:v>Acylation and carbonyl additions</x:v>
      </x:c>
      <x:c r="D4" s="151" t="n">
        <x:v>1</x:v>
      </x:c>
      <x:c r="E4" s="150" t="str">
        <x:v>inclusive_biological</x:v>
      </x:c>
      <x:c r="F4" s="150" t="str">
        <x:v>established</x:v>
      </x:c>
      <x:c r="G4" s="150" t="str">
        <x:v>Stable covalent acyl-derived end state; the installed acyl graph defines the family, while residue and stereochemistry are child fields.</x:v>
      </x:c>
      <x:c r="H4" s="150" t="str"/>
      <x:c r="I4" s="150" t="str">
        <x:v>KEPT as a chemically/biologically distinct installed end state</x:v>
      </x:c>
      <x:c r="J4" s="150" t="str">
        <x:v>CPLM 4.0 named acylation</x:v>
      </x:c>
      <x:c r="K4" s="150" t="str">
        <x:v>MGcylation; KMGc</x:v>
      </x:c>
      <x:c r="L4" s="185" t="str">
        <x:v>https://cplm.biocuckoo.cn/ | https://doi.org/10.1091/mbc.E17-05-0301</x:v>
      </x:c>
      <x:c r="M4" s="151" t="str">
        <x:v>high</x:v>
      </x:c>
      <x:c r="N4" s="151" t="n">
        <x:v>1</x:v>
      </x:c>
      <x:c r="O4" s="151" t="n">
        <x:v>1</x:v>
      </x:c>
      <x:c r="P4" s="151" t="n">
        <x:v>1</x:v>
      </x:c>
      <x:c r="Q4" s="151" t="n">
        <x:v>1</x:v>
      </x:c>
      <x:c r="R4" s="150" t="str">
        <x:v>added in correction pass from CPLM 4.0</x:v>
      </x:c>
    </x:row>
    <x:row r="5" ht="31.5" customHeight="1">
      <x:c r="A5" s="157" t="str">
        <x:v>ADJ004</x:v>
      </x:c>
      <x:c r="B5" s="158" t="str">
        <x:v>3-Methylglutarylation</x:v>
      </x:c>
      <x:c r="C5" s="158" t="str">
        <x:v>Acylation and carbonyl additions</x:v>
      </x:c>
      <x:c r="D5" s="159" t="n">
        <x:v>1</x:v>
      </x:c>
      <x:c r="E5" s="158" t="str">
        <x:v>inclusive_biological</x:v>
      </x:c>
      <x:c r="F5" s="158" t="str">
        <x:v>established</x:v>
      </x:c>
      <x:c r="G5" s="158" t="str">
        <x:v>Stable covalent acyl-derived end state; the installed acyl graph defines the family, while residue and stereochemistry are child fields.</x:v>
      </x:c>
      <x:c r="H5" s="158" t="str"/>
      <x:c r="I5" s="158" t="str">
        <x:v>KEPT as a chemically/biologically distinct installed end state</x:v>
      </x:c>
      <x:c r="J5" s="158" t="str">
        <x:v>CPLM 4.0 named acylation</x:v>
      </x:c>
      <x:c r="K5" s="158" t="str">
        <x:v>MGylation; KMG</x:v>
      </x:c>
      <x:c r="L5" s="184" t="str">
        <x:v>https://cplm.biocuckoo.cn/ | https://doi.org/10.1091/mbc.E17-05-0301</x:v>
      </x:c>
      <x:c r="M5" s="159" t="str">
        <x:v>high</x:v>
      </x:c>
      <x:c r="N5" s="159" t="n">
        <x:v>1</x:v>
      </x:c>
      <x:c r="O5" s="159" t="n">
        <x:v>1</x:v>
      </x:c>
      <x:c r="P5" s="159" t="n">
        <x:v>1</x:v>
      </x:c>
      <x:c r="Q5" s="159" t="n">
        <x:v>1</x:v>
      </x:c>
      <x:c r="R5" s="158" t="str">
        <x:v>added in correction pass from CPLM 4.0</x:v>
      </x:c>
    </x:row>
    <x:row r="6" ht="31.5" customHeight="1">
      <x:c r="A6" s="149" t="str">
        <x:v>ADJ005</x:v>
      </x:c>
      <x:c r="B6" s="150" t="str">
        <x:v>Acetoacetylation</x:v>
      </x:c>
      <x:c r="C6" s="150" t="str">
        <x:v>Acylation and carbonyl additions</x:v>
      </x:c>
      <x:c r="D6" s="151" t="n">
        <x:v>1</x:v>
      </x:c>
      <x:c r="E6" s="150" t="str">
        <x:v>inclusive_biological</x:v>
      </x:c>
      <x:c r="F6" s="150" t="str">
        <x:v>emerging_validated</x:v>
      </x:c>
      <x:c r="G6" s="150" t="str">
        <x:v>Stable covalent acyl-derived end state; the installed acyl graph defines the family, while residue and stereochemistry are child fields.</x:v>
      </x:c>
      <x:c r="H6" s="150" t="str"/>
      <x:c r="I6" s="150" t="str">
        <x:v>KEPT as a chemically/biologically distinct installed end state</x:v>
      </x:c>
      <x:c r="J6" s="150" t="str">
        <x:v>current reviewed and primary family</x:v>
      </x:c>
      <x:c r="K6" s="150" t="str">
        <x:v>lysine acetoacetylation; Kacac</x:v>
      </x:c>
      <x:c r="L6" s="185" t="str">
        <x:v>https://doi.org/10.7554/eLife.104123 | https://pmc.ncbi.nlm.nih.gov/articles/PMC13175576/</x:v>
      </x:c>
      <x:c r="M6" s="151" t="str">
        <x:v>high</x:v>
      </x:c>
      <x:c r="N6" s="151" t="n">
        <x:v>1</x:v>
      </x:c>
      <x:c r="O6" s="151" t="n">
        <x:v>0</x:v>
      </x:c>
      <x:c r="P6" s="151" t="n">
        <x:v>1</x:v>
      </x:c>
      <x:c r="Q6" s="151" t="n">
        <x:v>1</x:v>
      </x:c>
      <x:c r="R6" s="150" t="str">
        <x:v>2026 validated acetyltransferases/HDAC3 and mapped 139 Kacac sites on 85 human proteins.</x:v>
      </x:c>
    </x:row>
    <x:row r="7" ht="31.5" customHeight="1">
      <x:c r="A7" s="157" t="str">
        <x:v>ADJ006</x:v>
      </x:c>
      <x:c r="B7" s="158" t="str">
        <x:v>Acetyl-methylation</x:v>
      </x:c>
      <x:c r="C7" s="158" t="str">
        <x:v>Acylation and carbonyl additions</x:v>
      </x:c>
      <x:c r="D7" s="159" t="n">
        <x:v>1</x:v>
      </x:c>
      <x:c r="E7" s="158" t="str">
        <x:v>inclusive_biological</x:v>
      </x:c>
      <x:c r="F7" s="158" t="str">
        <x:v>emerging_validated</x:v>
      </x:c>
      <x:c r="G7" s="158" t="str">
        <x:v>Stable covalent acyl-derived end state; the installed acyl graph defines the family, while residue and stereochemistry are child fields.</x:v>
      </x:c>
      <x:c r="H7" s="158" t="str"/>
      <x:c r="I7" s="158" t="str">
        <x:v>KEPT as a chemically/biologically distinct installed end state</x:v>
      </x:c>
      <x:c r="J7" s="158" t="str">
        <x:v>current reviewed and primary family</x:v>
      </x:c>
      <x:c r="K7" s="158" t="str">
        <x:v>N-epsilon-acetyl-N-epsilon-methyllysine; acetyl-methyllysine; Kacme</x:v>
      </x:c>
      <x:c r="L7" s="184" t="str">
        <x:v>https://pmc.ncbi.nlm.nih.gov/articles/PMC10845139/ | https://pubmed.ncbi.nlm.nih.gov/42446724/ | https://pubmed.ncbi.nlm.nih.gov/42079196/</x:v>
      </x:c>
      <x:c r="M7" s="159" t="str">
        <x:v>high</x:v>
      </x:c>
      <x:c r="N7" s="159" t="n">
        <x:v>1</x:v>
      </x:c>
      <x:c r="O7" s="159" t="n">
        <x:v>0</x:v>
      </x:c>
      <x:c r="P7" s="159" t="n">
        <x:v>1</x:v>
      </x:c>
      <x:c r="Q7" s="159" t="n">
        <x:v>1</x:v>
      </x:c>
      <x:c r="R7" s="158" t="str">
        <x:v>Stable tertiary-amide Kacme end state; 2026 work extends functional evidence to non-histone enzymes and accessible chromatin.</x:v>
      </x:c>
    </x:row>
    <x:row r="8" ht="31.5" customHeight="1">
      <x:c r="A8" s="149" t="str">
        <x:v>ADJ007</x:v>
      </x:c>
      <x:c r="B8" s="150" t="str">
        <x:v>Acetylation</x:v>
      </x:c>
      <x:c r="C8" s="150" t="str">
        <x:v>Acylation and carbonyl additions</x:v>
      </x:c>
      <x:c r="D8" s="151" t="n">
        <x:v>1</x:v>
      </x:c>
      <x:c r="E8" s="150" t="str">
        <x:v>inclusive_biological</x:v>
      </x:c>
      <x:c r="F8" s="150" t="str">
        <x:v>established</x:v>
      </x:c>
      <x:c r="G8" s="150" t="str">
        <x:v>Stable covalent acyl-derived end state; the installed acyl graph defines the family, while residue and stereochemistry are child fields.</x:v>
      </x:c>
      <x:c r="H8" s="150" t="str"/>
      <x:c r="I8" s="150" t="str">
        <x:v>KEPT as a chemically/biologically distinct installed end state</x:v>
      </x:c>
      <x:c r="J8" s="150" t="str">
        <x:v>dbPTM live named end state</x:v>
      </x:c>
      <x:c r="K8" s="150" t="str">
        <x:v>N-acetylation; lysine acetylation; N-terminal acetylation</x:v>
      </x:c>
      <x:c r="L8" s="185" t="str">
        <x:v>https://biomics.lab.nycu.edu.tw/dbPTM/statistics.php | https://cplm.biocuckoo.cn/</x:v>
      </x:c>
      <x:c r="M8" s="151" t="str">
        <x:v>high</x:v>
      </x:c>
      <x:c r="N8" s="151" t="n">
        <x:v>1</x:v>
      </x:c>
      <x:c r="O8" s="151" t="n">
        <x:v>1</x:v>
      </x:c>
      <x:c r="P8" s="151" t="n">
        <x:v>1</x:v>
      </x:c>
      <x:c r="Q8" s="151" t="n">
        <x:v>1</x:v>
      </x:c>
      <x:c r="R8" s="150" t="str"/>
    </x:row>
    <x:row r="9" ht="31.5" customHeight="1">
      <x:c r="A9" s="157" t="str">
        <x:v>ADJ008</x:v>
      </x:c>
      <x:c r="B9" s="158" t="str">
        <x:v>Benzoylation</x:v>
      </x:c>
      <x:c r="C9" s="158" t="str">
        <x:v>Acylation and carbonyl additions</x:v>
      </x:c>
      <x:c r="D9" s="159" t="n">
        <x:v>1</x:v>
      </x:c>
      <x:c r="E9" s="158" t="str">
        <x:v>inclusive_biological</x:v>
      </x:c>
      <x:c r="F9" s="158" t="str">
        <x:v>established</x:v>
      </x:c>
      <x:c r="G9" s="158" t="str">
        <x:v>Stable covalent acyl-derived end state; the installed acyl graph defines the family, while residue and stereochemistry are child fields.</x:v>
      </x:c>
      <x:c r="H9" s="158" t="str"/>
      <x:c r="I9" s="158" t="str">
        <x:v>KEPT as a chemically/biologically distinct installed end state</x:v>
      </x:c>
      <x:c r="J9" s="158" t="str">
        <x:v>cross-vocabulary reviewed family</x:v>
      </x:c>
      <x:c r="K9" s="158" t="str">
        <x:v>lysine benzoylation; Kbz</x:v>
      </x:c>
      <x:c r="L9" s="184" t="str">
        <x:v>https://ftp.uniprot.org/pub/databases/uniprot/current_release/knowledgebase/complete/docs/ptmlist.txt | https://doi.org/10.1038/s41580-025-00876-7</x:v>
      </x:c>
      <x:c r="M9" s="159" t="str">
        <x:v>high</x:v>
      </x:c>
      <x:c r="N9" s="159" t="n">
        <x:v>1</x:v>
      </x:c>
      <x:c r="O9" s="159" t="n">
        <x:v>1</x:v>
      </x:c>
      <x:c r="P9" s="159" t="n">
        <x:v>1</x:v>
      </x:c>
      <x:c r="Q9" s="159" t="n">
        <x:v>1</x:v>
      </x:c>
      <x:c r="R9" s="158" t="str"/>
    </x:row>
    <x:row r="10" ht="31.5" customHeight="1">
      <x:c r="A10" s="149" t="str">
        <x:v>ADJ009</x:v>
      </x:c>
      <x:c r="B10" s="150" t="str">
        <x:v>Beta-hydroxybutyrylation</x:v>
      </x:c>
      <x:c r="C10" s="150" t="str">
        <x:v>Acylation and carbonyl additions</x:v>
      </x:c>
      <x:c r="D10" s="151" t="n">
        <x:v>1</x:v>
      </x:c>
      <x:c r="E10" s="150" t="str">
        <x:v>inclusive_biological</x:v>
      </x:c>
      <x:c r="F10" s="150" t="str">
        <x:v>established</x:v>
      </x:c>
      <x:c r="G10" s="150" t="str">
        <x:v>Stable covalent acyl-derived end state; the installed acyl graph defines the family, while residue and stereochemistry are child fields.</x:v>
      </x:c>
      <x:c r="H10" s="150" t="str"/>
      <x:c r="I10" s="150" t="str">
        <x:v>KEPT as a chemically/biologically distinct installed end state</x:v>
      </x:c>
      <x:c r="J10" s="150" t="str">
        <x:v>cross-vocabulary observed family</x:v>
      </x:c>
      <x:c r="K10" s="150" t="str">
        <x:v>N6-(beta-hydroxybutyryl)lysine; Kbhb</x:v>
      </x:c>
      <x:c r="L10" s="185" t="str">
        <x:v>https://ftp.uniprot.org/pub/databases/uniprot/current_release/knowledgebase/complete/docs/ptmlist.txt | https://proteomescout.wustl.edu/</x:v>
      </x:c>
      <x:c r="M10" s="151" t="str">
        <x:v>high</x:v>
      </x:c>
      <x:c r="N10" s="151" t="n">
        <x:v>1</x:v>
      </x:c>
      <x:c r="O10" s="151" t="n">
        <x:v>1</x:v>
      </x:c>
      <x:c r="P10" s="151" t="n">
        <x:v>1</x:v>
      </x:c>
      <x:c r="Q10" s="151" t="n">
        <x:v>1</x:v>
      </x:c>
      <x:c r="R10" s="150" t="str">
        <x:v>present in UniProt PTM vocabulary and current ProteomeScout annotations</x:v>
      </x:c>
    </x:row>
    <x:row r="11" ht="31.5" customHeight="1">
      <x:c r="A11" s="157" t="str">
        <x:v>ADJ010</x:v>
      </x:c>
      <x:c r="B11" s="158" t="str">
        <x:v>Butyryl/isobutyryl lysine acylation</x:v>
      </x:c>
      <x:c r="C11" s="158" t="str">
        <x:v>Acylation and carbonyl additions</x:v>
      </x:c>
      <x:c r="D11" s="159" t="n">
        <x:v>1</x:v>
      </x:c>
      <x:c r="E11" s="158" t="str">
        <x:v>inclusive_biological</x:v>
      </x:c>
      <x:c r="F11" s="158" t="str">
        <x:v>established</x:v>
      </x:c>
      <x:c r="G11" s="158" t="str">
        <x:v>Stable covalent acyl-derived end state; the installed acyl graph defines the family, while residue and stereochemistry are child fields.</x:v>
      </x:c>
      <x:c r="H11" s="158" t="str">
        <x:v>n-butyrylation | isobutyrylation</x:v>
      </x:c>
      <x:c r="I11" s="158" t="str">
        <x:v>MERGED constitutional acyl isomers under an isomer child field</x:v>
      </x:c>
      <x:c r="J11" s="158" t="str">
        <x:v>dbPTM live named end state</x:v>
      </x:c>
      <x:c r="K11" s="158" t="str">
        <x:v>lysine butyrylation; Kbu</x:v>
      </x:c>
      <x:c r="L11" s="184" t="str">
        <x:v>https://biomics.lab.nycu.edu.tw/dbPTM/statistics.php | https://cplm.biocuckoo.cn/ | https://doi.org/10.1093/nar/gkaa1176</x:v>
      </x:c>
      <x:c r="M11" s="159" t="str">
        <x:v>high</x:v>
      </x:c>
      <x:c r="N11" s="159" t="n">
        <x:v>1</x:v>
      </x:c>
      <x:c r="O11" s="159" t="n">
        <x:v>1</x:v>
      </x:c>
      <x:c r="P11" s="159" t="n">
        <x:v>1</x:v>
      </x:c>
      <x:c r="Q11" s="159" t="n">
        <x:v>1</x:v>
      </x:c>
      <x:c r="R11" s="158" t="str"/>
    </x:row>
    <x:row r="12" ht="31.5" customHeight="1">
      <x:c r="A12" s="149" t="str">
        <x:v>ADJ011</x:v>
      </x:c>
      <x:c r="B12" s="150" t="str">
        <x:v>Crotonylation</x:v>
      </x:c>
      <x:c r="C12" s="150" t="str">
        <x:v>Acylation and carbonyl additions</x:v>
      </x:c>
      <x:c r="D12" s="151" t="n">
        <x:v>1</x:v>
      </x:c>
      <x:c r="E12" s="150" t="str">
        <x:v>inclusive_biological</x:v>
      </x:c>
      <x:c r="F12" s="150" t="str">
        <x:v>established</x:v>
      </x:c>
      <x:c r="G12" s="150" t="str">
        <x:v>Stable covalent acyl-derived end state; the installed acyl graph defines the family, while residue and stereochemistry are child fields.</x:v>
      </x:c>
      <x:c r="H12" s="150" t="str"/>
      <x:c r="I12" s="150" t="str">
        <x:v>KEPT as a chemically/biologically distinct installed end state</x:v>
      </x:c>
      <x:c r="J12" s="150" t="str">
        <x:v>dbPTM live named end state</x:v>
      </x:c>
      <x:c r="K12" s="150" t="str">
        <x:v>lysine crotonylation; Kcr</x:v>
      </x:c>
      <x:c r="L12" s="185" t="str">
        <x:v>https://biomics.lab.nycu.edu.tw/dbPTM/statistics.php | https://cplm.biocuckoo.cn/</x:v>
      </x:c>
      <x:c r="M12" s="151" t="str">
        <x:v>high</x:v>
      </x:c>
      <x:c r="N12" s="151" t="n">
        <x:v>1</x:v>
      </x:c>
      <x:c r="O12" s="151" t="n">
        <x:v>1</x:v>
      </x:c>
      <x:c r="P12" s="151" t="n">
        <x:v>1</x:v>
      </x:c>
      <x:c r="Q12" s="151" t="n">
        <x:v>1</x:v>
      </x:c>
      <x:c r="R12" s="150" t="str"/>
    </x:row>
    <x:row r="13" ht="31.5" customHeight="1">
      <x:c r="A13" s="157" t="str">
        <x:v>ADJ012</x:v>
      </x:c>
      <x:c r="B13" s="158" t="str">
        <x:v>Formylation</x:v>
      </x:c>
      <x:c r="C13" s="158" t="str">
        <x:v>Acylation and carbonyl additions</x:v>
      </x:c>
      <x:c r="D13" s="159" t="n">
        <x:v>1</x:v>
      </x:c>
      <x:c r="E13" s="158" t="str">
        <x:v>inclusive_biological</x:v>
      </x:c>
      <x:c r="F13" s="158" t="str">
        <x:v>established</x:v>
      </x:c>
      <x:c r="G13" s="158" t="str">
        <x:v>Stable covalent acyl-derived end state; the installed acyl graph defines the family, while residue and stereochemistry are child fields.</x:v>
      </x:c>
      <x:c r="H13" s="158" t="str"/>
      <x:c r="I13" s="158" t="str">
        <x:v>KEPT as a chemically/biologically distinct installed end state</x:v>
      </x:c>
      <x:c r="J13" s="158" t="str">
        <x:v>dbPTM live named end state</x:v>
      </x:c>
      <x:c r="K13" s="158" t="str">
        <x:v>lysine formylation; N-formylation</x:v>
      </x:c>
      <x:c r="L13" s="184" t="str">
        <x:v>https://biomics.lab.nycu.edu.tw/dbPTM/statistics.php | https://cplm.biocuckoo.cn/</x:v>
      </x:c>
      <x:c r="M13" s="159" t="str">
        <x:v>high</x:v>
      </x:c>
      <x:c r="N13" s="159" t="n">
        <x:v>1</x:v>
      </x:c>
      <x:c r="O13" s="159" t="n">
        <x:v>1</x:v>
      </x:c>
      <x:c r="P13" s="159" t="n">
        <x:v>1</x:v>
      </x:c>
      <x:c r="Q13" s="159" t="n">
        <x:v>1</x:v>
      </x:c>
      <x:c r="R13" s="158" t="str"/>
    </x:row>
    <x:row r="14" ht="31.5" customHeight="1">
      <x:c r="A14" s="149" t="str">
        <x:v>ADJ013</x:v>
      </x:c>
      <x:c r="B14" s="150" t="str">
        <x:v>Glutarylation</x:v>
      </x:c>
      <x:c r="C14" s="150" t="str">
        <x:v>Acylation and carbonyl additions</x:v>
      </x:c>
      <x:c r="D14" s="151" t="n">
        <x:v>1</x:v>
      </x:c>
      <x:c r="E14" s="150" t="str">
        <x:v>inclusive_biological</x:v>
      </x:c>
      <x:c r="F14" s="150" t="str">
        <x:v>established</x:v>
      </x:c>
      <x:c r="G14" s="150" t="str">
        <x:v>Stable covalent acyl-derived end state; the installed acyl graph defines the family, while residue and stereochemistry are child fields.</x:v>
      </x:c>
      <x:c r="H14" s="150" t="str"/>
      <x:c r="I14" s="150" t="str">
        <x:v>KEPT as a chemically/biologically distinct installed end state</x:v>
      </x:c>
      <x:c r="J14" s="150" t="str">
        <x:v>dbPTM live named end state</x:v>
      </x:c>
      <x:c r="K14" s="150" t="str">
        <x:v>lysine glutarylation; Kglu</x:v>
      </x:c>
      <x:c r="L14" s="185" t="str">
        <x:v>https://biomics.lab.nycu.edu.tw/dbPTM/statistics.php | https://cplm.biocuckoo.cn/</x:v>
      </x:c>
      <x:c r="M14" s="151" t="str">
        <x:v>high</x:v>
      </x:c>
      <x:c r="N14" s="151" t="n">
        <x:v>1</x:v>
      </x:c>
      <x:c r="O14" s="151" t="n">
        <x:v>1</x:v>
      </x:c>
      <x:c r="P14" s="151" t="n">
        <x:v>1</x:v>
      </x:c>
      <x:c r="Q14" s="151" t="n">
        <x:v>1</x:v>
      </x:c>
      <x:c r="R14" s="150" t="str"/>
    </x:row>
    <x:row r="15" ht="31.5" customHeight="1">
      <x:c r="A15" s="157" t="str">
        <x:v>ADJ014</x:v>
      </x:c>
      <x:c r="B15" s="158" t="str">
        <x:v>Isonicotinylation</x:v>
      </x:c>
      <x:c r="C15" s="158" t="str">
        <x:v>Acylation and carbonyl additions</x:v>
      </x:c>
      <x:c r="D15" s="159" t="n">
        <x:v>1</x:v>
      </x:c>
      <x:c r="E15" s="158" t="str">
        <x:v>exposure_layer</x:v>
      </x:c>
      <x:c r="F15" s="158" t="str">
        <x:v>established</x:v>
      </x:c>
      <x:c r="G15" s="158" t="str">
        <x:v>Stable covalent acyl-derived end state; the installed acyl graph defines the family, while residue and stereochemistry are child fields.</x:v>
      </x:c>
      <x:c r="H15" s="158" t="str"/>
      <x:c r="I15" s="158" t="str">
        <x:v>RETAINED only in the inclusive in-vivo exposure layer because the mark is isoniazid-derived</x:v>
      </x:c>
      <x:c r="J15" s="158" t="str">
        <x:v>current reviewed and UniProt family</x:v>
      </x:c>
      <x:c r="K15" s="158" t="str">
        <x:v>lysine isonicotinylation; Kinic</x:v>
      </x:c>
      <x:c r="L15" s="184" t="str">
        <x:v>https://doi.org/10.1038/s41580-025-00876-7 | https://doi.org/10.1038/s41467-021-25867-y | https://ftp.uniprot.org/pub/databases/uniprot/current_release/knowledgebase/complete/docs/ptmlist.txt</x:v>
      </x:c>
      <x:c r="M15" s="159" t="str">
        <x:v>high</x:v>
      </x:c>
      <x:c r="N15" s="159" t="n">
        <x:v>0</x:v>
      </x:c>
      <x:c r="O15" s="159" t="n">
        <x:v>1</x:v>
      </x:c>
      <x:c r="P15" s="159" t="n">
        <x:v>1</x:v>
      </x:c>
      <x:c r="Q15" s="159" t="n">
        <x:v>1</x:v>
      </x:c>
      <x:c r="R15" s="158" t="str">
        <x:v>drug-induced but biologically installed and erased in cells</x:v>
      </x:c>
    </x:row>
    <x:row r="16" ht="31.5" customHeight="1">
      <x:c r="A16" s="149" t="str">
        <x:v>ADJ015</x:v>
      </x:c>
      <x:c r="B16" s="150" t="str">
        <x:v>Itaconylation</x:v>
      </x:c>
      <x:c r="C16" s="150" t="str">
        <x:v>Acylation and carbonyl additions</x:v>
      </x:c>
      <x:c r="D16" s="151" t="n">
        <x:v>1</x:v>
      </x:c>
      <x:c r="E16" s="150" t="str">
        <x:v>inclusive_biological</x:v>
      </x:c>
      <x:c r="F16" s="150" t="str">
        <x:v>emerging_validated</x:v>
      </x:c>
      <x:c r="G16" s="150" t="str">
        <x:v>Stable covalent acyl-derived end state; the installed acyl graph defines the family, while residue and stereochemistry are child fields.</x:v>
      </x:c>
      <x:c r="H16" s="150" t="str"/>
      <x:c r="I16" s="150" t="str">
        <x:v>KEPT as a chemically/biologically distinct installed end state</x:v>
      </x:c>
      <x:c r="J16" s="150" t="str">
        <x:v>current reviewed and primary family</x:v>
      </x:c>
      <x:c r="K16" s="150" t="str">
        <x:v>lysine itaconylation; K-itaconation; Kita</x:v>
      </x:c>
      <x:c r="L16" s="185" t="str">
        <x:v>https://doi.org/10.1038/s41580-025-00876-7 | https://doi.org/10.1021/jacs.3c02332</x:v>
      </x:c>
      <x:c r="M16" s="151" t="str">
        <x:v>high</x:v>
      </x:c>
      <x:c r="N16" s="151" t="n">
        <x:v>1</x:v>
      </x:c>
      <x:c r="O16" s="151" t="n">
        <x:v>0</x:v>
      </x:c>
      <x:c r="P16" s="151" t="n">
        <x:v>1</x:v>
      </x:c>
      <x:c r="Q16" s="151" t="n">
        <x:v>1</x:v>
      </x:c>
      <x:c r="R16" s="150" t="str">
        <x:v>lysine itaconylation is distinct from cysteine S-itaconation</x:v>
      </x:c>
    </x:row>
    <x:row r="17" ht="31.5" customHeight="1">
      <x:c r="A17" s="157" t="str">
        <x:v>ADJ016</x:v>
      </x:c>
      <x:c r="B17" s="158" t="str">
        <x:v>Lactylation</x:v>
      </x:c>
      <x:c r="C17" s="158" t="str">
        <x:v>Acylation and carbonyl additions</x:v>
      </x:c>
      <x:c r="D17" s="159" t="n">
        <x:v>1</x:v>
      </x:c>
      <x:c r="E17" s="158" t="str">
        <x:v>inclusive_biological</x:v>
      </x:c>
      <x:c r="F17" s="158" t="str">
        <x:v>established</x:v>
      </x:c>
      <x:c r="G17" s="158" t="str">
        <x:v>Stable covalent acyl-derived end state; the installed acyl graph defines the family, while residue and stereochemistry are child fields.</x:v>
      </x:c>
      <x:c r="H17" s="158" t="str"/>
      <x:c r="I17" s="158" t="str">
        <x:v>KEPT as a chemically/biologically distinct installed end state</x:v>
      </x:c>
      <x:c r="J17" s="158" t="str">
        <x:v>normalized family merge</x:v>
      </x:c>
      <x:c r="K17" s="158" t="str">
        <x:v>L-lactylation; D-lactylation; lactoylation; Kla; Kl-la; Kd-la</x:v>
      </x:c>
      <x:c r="L17" s="184" t="str">
        <x:v>https://doi.org/10.1038/s41580-025-00876-7 | https://pmc.ncbi.nlm.nih.gov/articles/PMC11666458/ | https://biomics.lab.nycu.edu.tw/dbPTM/statistics.php</x:v>
      </x:c>
      <x:c r="M17" s="159" t="str">
        <x:v>high</x:v>
      </x:c>
      <x:c r="N17" s="159" t="n">
        <x:v>1</x:v>
      </x:c>
      <x:c r="O17" s="159" t="n">
        <x:v>1</x:v>
      </x:c>
      <x:c r="P17" s="159" t="n">
        <x:v>1</x:v>
      </x:c>
      <x:c r="Q17" s="159" t="n">
        <x:v>1</x:v>
      </x:c>
      <x:c r="R17" s="158" t="str">
        <x:v>dbPTM Lactylation and Lactoylation are merged as stereochemical subtypes of one lactylation family; carboxyethylation remains separate</x:v>
      </x:c>
    </x:row>
    <x:row r="18" ht="31.5" customHeight="1">
      <x:c r="A18" s="149" t="str">
        <x:v>ADJ017</x:v>
      </x:c>
      <x:c r="B18" s="150" t="str">
        <x:v>Lysine phenylacetylation</x:v>
      </x:c>
      <x:c r="C18" s="150" t="str">
        <x:v>Acylation and carbonyl additions</x:v>
      </x:c>
      <x:c r="D18" s="151" t="n">
        <x:v>1</x:v>
      </x:c>
      <x:c r="E18" s="150" t="str">
        <x:v>inclusive_biological</x:v>
      </x:c>
      <x:c r="F18" s="150" t="str">
        <x:v>emerging_validated</x:v>
      </x:c>
      <x:c r="G18" s="150" t="str">
        <x:v>Stable covalent acyl-derived end state; the installed acyl graph defines the family, while residue and stereochemistry are child fields.</x:v>
      </x:c>
      <x:c r="H18" s="150" t="str">
        <x:v>Kpaa</x:v>
      </x:c>
      <x:c r="I18" s="150" t="str">
        <x:v>ADDED after ontology/database correction pass</x:v>
      </x:c>
      <x:c r="J18" s="150" t="str">
        <x:v>primary-literature-validated natural covalent end state</x:v>
      </x:c>
      <x:c r="K18" s="150" t="str">
        <x:v>Lysine phenylacetylation</x:v>
      </x:c>
      <x:c r="L18" s="185" t="str">
        <x:v>https://doi.org/10.1016/j.cmet.2026.05.016</x:v>
      </x:c>
      <x:c r="M18" s="151" t="str">
        <x:v>high</x:v>
      </x:c>
      <x:c r="N18" s="151" t="n">
        <x:v>1</x:v>
      </x:c>
      <x:c r="O18" s="151" t="n">
        <x:v>0</x:v>
      </x:c>
      <x:c r="P18" s="151" t="n">
        <x:v>1</x:v>
      </x:c>
      <x:c r="Q18" s="151" t="n">
        <x:v>1</x:v>
      </x:c>
      <x:c r="R18" s="150" t="str">
        <x:v>2026 Cell Metabolism study validates a gut-microbiota-derived mark regulated by ACSF2 and SIRT3.</x:v>
      </x:c>
    </x:row>
    <x:row r="19" ht="31.5" customHeight="1">
      <x:c r="A19" s="157" t="str">
        <x:v>ADJ018</x:v>
      </x:c>
      <x:c r="B19" s="158" t="str">
        <x:v>Lysine pyruvylation</x:v>
      </x:c>
      <x:c r="C19" s="158" t="str">
        <x:v>Acylation and carbonyl additions</x:v>
      </x:c>
      <x:c r="D19" s="159" t="n">
        <x:v>1</x:v>
      </x:c>
      <x:c r="E19" s="158" t="str">
        <x:v>inclusive_biological</x:v>
      </x:c>
      <x:c r="F19" s="158" t="str">
        <x:v>emerging_validated</x:v>
      </x:c>
      <x:c r="G19" s="158" t="str">
        <x:v>Stable covalent acyl-derived end state; the installed acyl graph defines the family, while residue and stereochemistry are child fields.</x:v>
      </x:c>
      <x:c r="H19" s="158" t="str">
        <x:v>Kpy | pyruvatylation</x:v>
      </x:c>
      <x:c r="I19" s="158" t="str">
        <x:v>ADDED after ontology/database correction pass</x:v>
      </x:c>
      <x:c r="J19" s="158" t="str">
        <x:v>primary-literature-validated natural covalent end state</x:v>
      </x:c>
      <x:c r="K19" s="158" t="str">
        <x:v>Lysine pyruvylation</x:v>
      </x:c>
      <x:c r="L19" s="184" t="str">
        <x:v>https://doi.org/10.1038/s42255-026-01556-2 | https://pubmed.ncbi.nlm.nih.gov/42399660/</x:v>
      </x:c>
      <x:c r="M19" s="159" t="str">
        <x:v>high</x:v>
      </x:c>
      <x:c r="N19" s="159" t="n">
        <x:v>1</x:v>
      </x:c>
      <x:c r="O19" s="159" t="n">
        <x:v>0</x:v>
      </x:c>
      <x:c r="P19" s="159" t="n">
        <x:v>1</x:v>
      </x:c>
      <x:c r="Q19" s="159" t="n">
        <x:v>1</x:v>
      </x:c>
      <x:c r="R19" s="158" t="str">
        <x:v>2026 Nature Metabolism study mapped 88 Kpy sites and identified HAT1/p300 writers and SIRT3 eraser.</x:v>
      </x:c>
    </x:row>
    <x:row r="20" ht="31.5" customHeight="1">
      <x:c r="A20" s="149" t="str">
        <x:v>ADJ019</x:v>
      </x:c>
      <x:c r="B20" s="150" t="str">
        <x:v>Malonylation</x:v>
      </x:c>
      <x:c r="C20" s="150" t="str">
        <x:v>Acylation and carbonyl additions</x:v>
      </x:c>
      <x:c r="D20" s="151" t="n">
        <x:v>1</x:v>
      </x:c>
      <x:c r="E20" s="150" t="str">
        <x:v>inclusive_biological</x:v>
      </x:c>
      <x:c r="F20" s="150" t="str">
        <x:v>established</x:v>
      </x:c>
      <x:c r="G20" s="150" t="str">
        <x:v>Stable covalent acyl-derived end state; the installed acyl graph defines the family, while residue and stereochemistry are child fields.</x:v>
      </x:c>
      <x:c r="H20" s="150" t="str"/>
      <x:c r="I20" s="150" t="str">
        <x:v>KEPT as a chemically/biologically distinct installed end state</x:v>
      </x:c>
      <x:c r="J20" s="150" t="str">
        <x:v>dbPTM live named end state</x:v>
      </x:c>
      <x:c r="K20" s="150" t="str">
        <x:v>lysine malonylation; Kmal</x:v>
      </x:c>
      <x:c r="L20" s="185" t="str">
        <x:v>https://biomics.lab.nycu.edu.tw/dbPTM/statistics.php | https://cplm.biocuckoo.cn/</x:v>
      </x:c>
      <x:c r="M20" s="151" t="str">
        <x:v>high</x:v>
      </x:c>
      <x:c r="N20" s="151" t="n">
        <x:v>1</x:v>
      </x:c>
      <x:c r="O20" s="151" t="n">
        <x:v>1</x:v>
      </x:c>
      <x:c r="P20" s="151" t="n">
        <x:v>1</x:v>
      </x:c>
      <x:c r="Q20" s="151" t="n">
        <x:v>1</x:v>
      </x:c>
      <x:c r="R20" s="150" t="str"/>
    </x:row>
    <x:row r="21" ht="31.5" customHeight="1">
      <x:c r="A21" s="157" t="str">
        <x:v>ADJ020</x:v>
      </x:c>
      <x:c r="B21" s="158" t="str">
        <x:v>Methacrylation</x:v>
      </x:c>
      <x:c r="C21" s="158" t="str">
        <x:v>Acylation and carbonyl additions</x:v>
      </x:c>
      <x:c r="D21" s="159" t="n">
        <x:v>1</x:v>
      </x:c>
      <x:c r="E21" s="158" t="str">
        <x:v>inclusive_biological</x:v>
      </x:c>
      <x:c r="F21" s="158" t="str">
        <x:v>established</x:v>
      </x:c>
      <x:c r="G21" s="158" t="str">
        <x:v>Stable covalent acyl-derived end state; the installed acyl graph defines the family, while residue and stereochemistry are child fields.</x:v>
      </x:c>
      <x:c r="H21" s="158" t="str"/>
      <x:c r="I21" s="158" t="str">
        <x:v>KEPT as a chemically/biologically distinct installed end state</x:v>
      </x:c>
      <x:c r="J21" s="158" t="str">
        <x:v>cross-vocabulary reviewed family</x:v>
      </x:c>
      <x:c r="K21" s="158" t="str">
        <x:v>lysine methacrylation; Kmea</x:v>
      </x:c>
      <x:c r="L21" s="184" t="str">
        <x:v>https://ftp.uniprot.org/pub/databases/uniprot/current_release/knowledgebase/complete/docs/ptmlist.txt | https://doi.org/10.1038/s41580-025-00876-7 | https://doi.org/10.1038/s41421-021-00344-4</x:v>
      </x:c>
      <x:c r="M21" s="159" t="str">
        <x:v>high</x:v>
      </x:c>
      <x:c r="N21" s="159" t="n">
        <x:v>1</x:v>
      </x:c>
      <x:c r="O21" s="159" t="n">
        <x:v>1</x:v>
      </x:c>
      <x:c r="P21" s="159" t="n">
        <x:v>1</x:v>
      </x:c>
      <x:c r="Q21" s="159" t="n">
        <x:v>1</x:v>
      </x:c>
      <x:c r="R21" s="158" t="str"/>
    </x:row>
    <x:row r="22" ht="31.5" customHeight="1">
      <x:c r="A22" s="149" t="str">
        <x:v>ADJ021</x:v>
      </x:c>
      <x:c r="B22" s="150" t="str">
        <x:v>Propionylation</x:v>
      </x:c>
      <x:c r="C22" s="150" t="str">
        <x:v>Acylation and carbonyl additions</x:v>
      </x:c>
      <x:c r="D22" s="151" t="n">
        <x:v>1</x:v>
      </x:c>
      <x:c r="E22" s="150" t="str">
        <x:v>inclusive_biological</x:v>
      </x:c>
      <x:c r="F22" s="150" t="str">
        <x:v>established</x:v>
      </x:c>
      <x:c r="G22" s="150" t="str">
        <x:v>Stable covalent acyl-derived end state; the installed acyl graph defines the family, while residue and stereochemistry are child fields.</x:v>
      </x:c>
      <x:c r="H22" s="150" t="str"/>
      <x:c r="I22" s="150" t="str">
        <x:v>KEPT as a chemically/biologically distinct installed end state</x:v>
      </x:c>
      <x:c r="J22" s="150" t="str">
        <x:v>dbPTM live named end state</x:v>
      </x:c>
      <x:c r="K22" s="150" t="str">
        <x:v>lysine propionylation; Kpr</x:v>
      </x:c>
      <x:c r="L22" s="185" t="str">
        <x:v>https://biomics.lab.nycu.edu.tw/dbPTM/statistics.php | https://cplm.biocuckoo.cn/</x:v>
      </x:c>
      <x:c r="M22" s="151" t="str">
        <x:v>high</x:v>
      </x:c>
      <x:c r="N22" s="151" t="n">
        <x:v>1</x:v>
      </x:c>
      <x:c r="O22" s="151" t="n">
        <x:v>1</x:v>
      </x:c>
      <x:c r="P22" s="151" t="n">
        <x:v>1</x:v>
      </x:c>
      <x:c r="Q22" s="151" t="n">
        <x:v>1</x:v>
      </x:c>
      <x:c r="R22" s="150" t="str"/>
    </x:row>
    <x:row r="23" ht="31.5" customHeight="1">
      <x:c r="A23" s="157" t="str">
        <x:v>ADJ022</x:v>
      </x:c>
      <x:c r="B23" s="158" t="str">
        <x:v>Succinylation</x:v>
      </x:c>
      <x:c r="C23" s="158" t="str">
        <x:v>Acylation and carbonyl additions</x:v>
      </x:c>
      <x:c r="D23" s="159" t="n">
        <x:v>1</x:v>
      </x:c>
      <x:c r="E23" s="158" t="str">
        <x:v>inclusive_biological</x:v>
      </x:c>
      <x:c r="F23" s="158" t="str">
        <x:v>established</x:v>
      </x:c>
      <x:c r="G23" s="158" t="str">
        <x:v>Stable covalent acyl-derived end state; the installed acyl graph defines the family, while residue and stereochemistry are child fields.</x:v>
      </x:c>
      <x:c r="H23" s="158" t="str"/>
      <x:c r="I23" s="158" t="str">
        <x:v>KEPT as a chemically/biologically distinct installed end state</x:v>
      </x:c>
      <x:c r="J23" s="158" t="str">
        <x:v>dbPTM live named end state</x:v>
      </x:c>
      <x:c r="K23" s="158" t="str">
        <x:v>lysine succinylation; Ksucc</x:v>
      </x:c>
      <x:c r="L23" s="184" t="str">
        <x:v>https://biomics.lab.nycu.edu.tw/dbPTM/statistics.php | https://cplm.biocuckoo.cn/</x:v>
      </x:c>
      <x:c r="M23" s="159" t="str">
        <x:v>high</x:v>
      </x:c>
      <x:c r="N23" s="159" t="n">
        <x:v>1</x:v>
      </x:c>
      <x:c r="O23" s="159" t="n">
        <x:v>1</x:v>
      </x:c>
      <x:c r="P23" s="159" t="n">
        <x:v>1</x:v>
      </x:c>
      <x:c r="Q23" s="159" t="n">
        <x:v>1</x:v>
      </x:c>
      <x:c r="R23" s="158" t="str"/>
    </x:row>
    <x:row r="24" ht="31.5" customHeight="1">
      <x:c r="A24" s="149" t="str">
        <x:v>ADJ023</x:v>
      </x:c>
      <x:c r="B24" s="150" t="str">
        <x:v>ADP-ribosylation</x:v>
      </x:c>
      <x:c r="C24" s="150" t="str">
        <x:v>Small-group and nucleotide additions</x:v>
      </x:c>
      <x:c r="D24" s="151" t="n">
        <x:v>1</x:v>
      </x:c>
      <x:c r="E24" s="150" t="str">
        <x:v>inclusive_biological</x:v>
      </x:c>
      <x:c r="F24" s="150" t="str">
        <x:v>established</x:v>
      </x:c>
      <x:c r="G24" s="150" t="str">
        <x:v>Stable small-group installation or residue conversion; acceptor residue, linkage, and donor variant are child fields unless chemically distinct.</x:v>
      </x:c>
      <x:c r="H24" s="150" t="str"/>
      <x:c r="I24" s="150" t="str">
        <x:v>KEPT as a chemically/biologically distinct installed end state</x:v>
      </x:c>
      <x:c r="J24" s="150" t="str">
        <x:v>dbPTM live named end state</x:v>
      </x:c>
      <x:c r="K24" s="150" t="str">
        <x:v>mono-ADP-ribosylation; poly-ADP-ribosylation; MARylation; PARylation</x:v>
      </x:c>
      <x:c r="L24" s="185" t="str">
        <x:v>https://biomics.lab.nycu.edu.tw/dbPTM/statistics.php</x:v>
      </x:c>
      <x:c r="M24" s="151" t="str">
        <x:v>high</x:v>
      </x:c>
      <x:c r="N24" s="151" t="n">
        <x:v>1</x:v>
      </x:c>
      <x:c r="O24" s="151" t="n">
        <x:v>1</x:v>
      </x:c>
      <x:c r="P24" s="151" t="n">
        <x:v>1</x:v>
      </x:c>
      <x:c r="Q24" s="151" t="n">
        <x:v>1</x:v>
      </x:c>
      <x:c r="R24" s="150" t="str">
        <x:v>mono and polymeric states are subtypes of one donor family</x:v>
      </x:c>
    </x:row>
    <x:row r="25" ht="31.5" customHeight="1">
      <x:c r="A25" s="157" t="str">
        <x:v>ADJ024</x:v>
      </x:c>
      <x:c r="B25" s="158" t="str">
        <x:v>Amidation</x:v>
      </x:c>
      <x:c r="C25" s="158" t="str">
        <x:v>Small-group and nucleotide additions</x:v>
      </x:c>
      <x:c r="D25" s="159" t="n">
        <x:v>1</x:v>
      </x:c>
      <x:c r="E25" s="158" t="str">
        <x:v>inclusive_biological</x:v>
      </x:c>
      <x:c r="F25" s="158" t="str">
        <x:v>established</x:v>
      </x:c>
      <x:c r="G25" s="158" t="str">
        <x:v>Stable small-group installation or residue conversion; acceptor residue, linkage, and donor variant are child fields unless chemically distinct.</x:v>
      </x:c>
      <x:c r="H25" s="158" t="str"/>
      <x:c r="I25" s="158" t="str">
        <x:v>KEPT as a chemically/biologically distinct installed end state</x:v>
      </x:c>
      <x:c r="J25" s="158" t="str">
        <x:v>dbPTM live named end state</x:v>
      </x:c>
      <x:c r="K25" s="158" t="str">
        <x:v>C-terminal amidation; side-chain amidation</x:v>
      </x:c>
      <x:c r="L25" s="184" t="str">
        <x:v>https://biomics.lab.nycu.edu.tw/dbPTM/statistics.php | https://ftp.uniprot.org/pub/databases/uniprot/current_release/knowledgebase/complete/docs/ptmlist.txt</x:v>
      </x:c>
      <x:c r="M25" s="159" t="str">
        <x:v>high</x:v>
      </x:c>
      <x:c r="N25" s="159" t="n">
        <x:v>1</x:v>
      </x:c>
      <x:c r="O25" s="159" t="n">
        <x:v>1</x:v>
      </x:c>
      <x:c r="P25" s="159" t="n">
        <x:v>1</x:v>
      </x:c>
      <x:c r="Q25" s="159" t="n">
        <x:v>1</x:v>
      </x:c>
      <x:c r="R25" s="158" t="str"/>
    </x:row>
    <x:row r="26" ht="31.5" customHeight="1">
      <x:c r="A26" s="149" t="str">
        <x:v>ADJ025</x:v>
      </x:c>
      <x:c r="B26" s="150" t="str">
        <x:v>Arginylation</x:v>
      </x:c>
      <x:c r="C26" s="150" t="str">
        <x:v>Small-group and nucleotide additions</x:v>
      </x:c>
      <x:c r="D26" s="151" t="n">
        <x:v>1</x:v>
      </x:c>
      <x:c r="E26" s="150" t="str">
        <x:v>inclusive_biological</x:v>
      </x:c>
      <x:c r="F26" s="150" t="str">
        <x:v>established</x:v>
      </x:c>
      <x:c r="G26" s="150" t="str">
        <x:v>Stable small-group installation or residue conversion; acceptor residue, linkage, and donor variant are child fields unless chemically distinct.</x:v>
      </x:c>
      <x:c r="H26" s="150" t="str"/>
      <x:c r="I26" s="150" t="str">
        <x:v>KEPT as a chemically/biologically distinct installed end state</x:v>
      </x:c>
      <x:c r="J26" s="150" t="str">
        <x:v>review-backed biological family</x:v>
      </x:c>
      <x:c r="K26" s="150" t="str">
        <x:v>N-terminal arginylation; side-chain arginylation; ATE1-mediated arginylation</x:v>
      </x:c>
      <x:c r="L26" s="185" t="str">
        <x:v>https://pmc.ncbi.nlm.nih.gov/articles/PMC10199459/</x:v>
      </x:c>
      <x:c r="M26" s="151" t="str">
        <x:v>high</x:v>
      </x:c>
      <x:c r="N26" s="151" t="n">
        <x:v>1</x:v>
      </x:c>
      <x:c r="O26" s="151" t="n">
        <x:v>1</x:v>
      </x:c>
      <x:c r="P26" s="151" t="n">
        <x:v>1</x:v>
      </x:c>
      <x:c r="Q26" s="151" t="n">
        <x:v>1</x:v>
      </x:c>
      <x:c r="R26" s="150" t="str"/>
    </x:row>
    <x:row r="27" ht="31.5" customHeight="1">
      <x:c r="A27" s="157" t="str">
        <x:v>ADJ026</x:v>
      </x:c>
      <x:c r="B27" s="158" t="str">
        <x:v>Carbamoylation</x:v>
      </x:c>
      <x:c r="C27" s="158" t="str">
        <x:v>Small-group and nucleotide additions</x:v>
      </x:c>
      <x:c r="D27" s="159" t="n">
        <x:v>1</x:v>
      </x:c>
      <x:c r="E27" s="158" t="str">
        <x:v>inclusive_biological</x:v>
      </x:c>
      <x:c r="F27" s="158" t="str">
        <x:v>established</x:v>
      </x:c>
      <x:c r="G27" s="158" t="str">
        <x:v>Stable small-group installation or residue conversion; acceptor residue, linkage, and donor variant are child fields unless chemically distinct.</x:v>
      </x:c>
      <x:c r="H27" s="158" t="str"/>
      <x:c r="I27" s="158" t="str">
        <x:v>KEPT as a chemically/biologically distinct installed end state</x:v>
      </x:c>
      <x:c r="J27" s="158" t="str">
        <x:v>normalized dbPTM family</x:v>
      </x:c>
      <x:c r="K27" s="158" t="str">
        <x:v>N-carbamoylation; S-carbamoylation; carbamylation</x:v>
      </x:c>
      <x:c r="L27" s="184" t="str">
        <x:v>https://biomics.lab.nycu.edu.tw/dbPTM/statistics.php</x:v>
      </x:c>
      <x:c r="M27" s="159" t="str">
        <x:v>moderate</x:v>
      </x:c>
      <x:c r="N27" s="159" t="n">
        <x:v>1</x:v>
      </x:c>
      <x:c r="O27" s="159" t="n">
        <x:v>1</x:v>
      </x:c>
      <x:c r="P27" s="159" t="n">
        <x:v>1</x:v>
      </x:c>
      <x:c r="Q27" s="159" t="n">
        <x:v>1</x:v>
      </x:c>
      <x:c r="R27" s="158" t="str">
        <x:v>N-linked and S-linked acceptor variants merged</x:v>
      </x:c>
    </x:row>
    <x:row r="28" ht="31.5" customHeight="1">
      <x:c r="A28" s="149" t="str">
        <x:v>ADJ027</x:v>
      </x:c>
      <x:c r="B28" s="150" t="str">
        <x:v>Carboxylation</x:v>
      </x:c>
      <x:c r="C28" s="150" t="str">
        <x:v>Small-group and nucleotide additions</x:v>
      </x:c>
      <x:c r="D28" s="151" t="n">
        <x:v>1</x:v>
      </x:c>
      <x:c r="E28" s="150" t="str">
        <x:v>inclusive_biological</x:v>
      </x:c>
      <x:c r="F28" s="150" t="str">
        <x:v>established</x:v>
      </x:c>
      <x:c r="G28" s="150" t="str">
        <x:v>Stable small-group installation or residue conversion; acceptor residue, linkage, and donor variant are child fields unless chemically distinct.</x:v>
      </x:c>
      <x:c r="H28" s="150" t="str"/>
      <x:c r="I28" s="150" t="str">
        <x:v>KEPT as a chemically/biologically distinct installed end state</x:v>
      </x:c>
      <x:c r="J28" s="150" t="str">
        <x:v>normalized dbPTM family</x:v>
      </x:c>
      <x:c r="K28" s="150" t="str">
        <x:v>gamma-carboxylation; gamma-carboxyglutamate; Gla</x:v>
      </x:c>
      <x:c r="L28" s="185" t="str">
        <x:v>https://biomics.lab.nycu.edu.tw/dbPTM/statistics.php</x:v>
      </x:c>
      <x:c r="M28" s="151" t="str">
        <x:v>high</x:v>
      </x:c>
      <x:c r="N28" s="151" t="n">
        <x:v>1</x:v>
      </x:c>
      <x:c r="O28" s="151" t="n">
        <x:v>1</x:v>
      </x:c>
      <x:c r="P28" s="151" t="n">
        <x:v>1</x:v>
      </x:c>
      <x:c r="Q28" s="151" t="n">
        <x:v>1</x:v>
      </x:c>
      <x:c r="R28" s="150" t="str">
        <x:v>dbPTM Carboxylation and Gamma-carboxyglutamic acid merged</x:v>
      </x:c>
    </x:row>
    <x:row r="29" ht="31.5" customHeight="1">
      <x:c r="A29" s="157" t="str">
        <x:v>ADJ028</x:v>
      </x:c>
      <x:c r="B29" s="158" t="str">
        <x:v>EF-P 5-aminopentanolylation</x:v>
      </x:c>
      <x:c r="C29" s="158" t="str">
        <x:v>Small-group and nucleotide additions</x:v>
      </x:c>
      <x:c r="D29" s="159" t="n">
        <x:v>1</x:v>
      </x:c>
      <x:c r="E29" s="158" t="str">
        <x:v>inclusive_biological</x:v>
      </x:c>
      <x:c r="F29" s="158" t="str">
        <x:v>established</x:v>
      </x:c>
      <x:c r="G29" s="158" t="str">
        <x:v>Stable small-group installation or residue conversion; acceptor residue, linkage, and donor variant are child fields unless chemically distinct.</x:v>
      </x:c>
      <x:c r="H29" s="158" t="str">
        <x:v>aminopentanolylation</x:v>
      </x:c>
      <x:c r="I29" s="158" t="str">
        <x:v>ADDED after ontology/database correction pass</x:v>
      </x:c>
      <x:c r="J29" s="158" t="str">
        <x:v>primary-literature-validated natural covalent end state</x:v>
      </x:c>
      <x:c r="K29" s="158" t="str">
        <x:v>EF-P 5-aminopentanolylation</x:v>
      </x:c>
      <x:c r="L29" s="184" t="str">
        <x:v>https://doi.org/10.1002/2211-5463.12901</x:v>
      </x:c>
      <x:c r="M29" s="159" t="str">
        <x:v>high</x:v>
      </x:c>
      <x:c r="N29" s="159" t="n">
        <x:v>1</x:v>
      </x:c>
      <x:c r="O29" s="159" t="n">
        <x:v>1</x:v>
      </x:c>
      <x:c r="P29" s="159" t="n">
        <x:v>1</x:v>
      </x:c>
      <x:c r="Q29" s="159" t="n">
        <x:v>1</x:v>
      </x:c>
      <x:c r="R29" s="158" t="str">
        <x:v>Distinct bacterial elongation-factor P activation chemistry.</x:v>
      </x:c>
    </x:row>
    <x:row r="30" ht="31.5" customHeight="1">
      <x:c r="A30" s="149" t="str">
        <x:v>ADJ029</x:v>
      </x:c>
      <x:c r="B30" s="150" t="str">
        <x:v>EF-P beta-lysylation</x:v>
      </x:c>
      <x:c r="C30" s="150" t="str">
        <x:v>Small-group and nucleotide additions</x:v>
      </x:c>
      <x:c r="D30" s="151" t="n">
        <x:v>1</x:v>
      </x:c>
      <x:c r="E30" s="150" t="str">
        <x:v>inclusive_biological</x:v>
      </x:c>
      <x:c r="F30" s="150" t="str">
        <x:v>established</x:v>
      </x:c>
      <x:c r="G30" s="150" t="str">
        <x:v>Stable small-group installation or residue conversion; acceptor residue, linkage, and donor variant are child fields unless chemically distinct.</x:v>
      </x:c>
      <x:c r="H30" s="150" t="str">
        <x:v>beta-lysinylation | (R)-beta-lysyl-Lys</x:v>
      </x:c>
      <x:c r="I30" s="150" t="str">
        <x:v>ADDED after ontology/database correction pass</x:v>
      </x:c>
      <x:c r="J30" s="150" t="str">
        <x:v>primary-literature-validated natural covalent end state</x:v>
      </x:c>
      <x:c r="K30" s="150" t="str">
        <x:v>EF-P beta-lysylation</x:v>
      </x:c>
      <x:c r="L30" s="185" t="str">
        <x:v>https://doi.org/10.1074/jbc.M111.309633</x:v>
      </x:c>
      <x:c r="M30" s="151" t="str">
        <x:v>high</x:v>
      </x:c>
      <x:c r="N30" s="151" t="n">
        <x:v>1</x:v>
      </x:c>
      <x:c r="O30" s="151" t="n">
        <x:v>1</x:v>
      </x:c>
      <x:c r="P30" s="151" t="n">
        <x:v>1</x:v>
      </x:c>
      <x:c r="Q30" s="151" t="n">
        <x:v>1</x:v>
      </x:c>
      <x:c r="R30" s="150" t="str">
        <x:v>Distinct bacterial elongation-factor P activation chemistry.</x:v>
      </x:c>
    </x:row>
    <x:row r="31" ht="31.5" customHeight="1">
      <x:c r="A31" s="157" t="str">
        <x:v>ADJ030</x:v>
      </x:c>
      <x:c r="B31" s="158" t="str">
        <x:v>Ethanolamine phosphoglycerol addition</x:v>
      </x:c>
      <x:c r="C31" s="158" t="str">
        <x:v>Small-group and nucleotide additions</x:v>
      </x:c>
      <x:c r="D31" s="159" t="n">
        <x:v>1</x:v>
      </x:c>
      <x:c r="E31" s="158" t="str">
        <x:v>inclusive_biological</x:v>
      </x:c>
      <x:c r="F31" s="158" t="str">
        <x:v>established</x:v>
      </x:c>
      <x:c r="G31" s="158" t="str">
        <x:v>Stable small-group installation or residue conversion; acceptor residue, linkage, and donor variant are child fields unless chemically distinct.</x:v>
      </x:c>
      <x:c r="H31" s="158" t="str"/>
      <x:c r="I31" s="158" t="str">
        <x:v>ADDED after ontology/database correction pass</x:v>
      </x:c>
      <x:c r="J31" s="158" t="str">
        <x:v>primary-literature-validated natural covalent end state</x:v>
      </x:c>
      <x:c r="K31" s="158" t="str">
        <x:v>Ethanolamine phosphoglycerol addition</x:v>
      </x:c>
      <x:c r="L31" s="184" t="str">
        <x:v>https://doi.org/10.1074/jbc.M802430200 | https://proteomescout.research.virginia.edu/downloads</x:v>
      </x:c>
      <x:c r="M31" s="159" t="str">
        <x:v>high</x:v>
      </x:c>
      <x:c r="N31" s="159" t="n">
        <x:v>1</x:v>
      </x:c>
      <x:c r="O31" s="159" t="n">
        <x:v>1</x:v>
      </x:c>
      <x:c r="P31" s="159" t="n">
        <x:v>1</x:v>
      </x:c>
      <x:c r="Q31" s="159" t="n">
        <x:v>1</x:v>
      </x:c>
      <x:c r="R31" s="158" t="str">
        <x:v>Natural amide-linked 5-glutamyl glycerylphosphorylethanolamine; 20 current ProteomeScout observations.</x:v>
      </x:c>
    </x:row>
    <x:row r="32" ht="31.5" customHeight="1">
      <x:c r="A32" s="149" t="str">
        <x:v>ADJ031</x:v>
      </x:c>
      <x:c r="B32" s="150" t="str">
        <x:v>Methylation</x:v>
      </x:c>
      <x:c r="C32" s="150" t="str">
        <x:v>Small-group and nucleotide additions</x:v>
      </x:c>
      <x:c r="D32" s="151" t="n">
        <x:v>1</x:v>
      </x:c>
      <x:c r="E32" s="150" t="str">
        <x:v>inclusive_biological</x:v>
      </x:c>
      <x:c r="F32" s="150" t="str">
        <x:v>established</x:v>
      </x:c>
      <x:c r="G32" s="150" t="str">
        <x:v>Stable small-group installation or residue conversion; acceptor residue, linkage, and donor variant are child fields unless chemically distinct.</x:v>
      </x:c>
      <x:c r="H32" s="150" t="str"/>
      <x:c r="I32" s="150" t="str">
        <x:v>KEPT as a chemically/biologically distinct installed end state</x:v>
      </x:c>
      <x:c r="J32" s="150" t="str">
        <x:v>dbPTM live named end state</x:v>
      </x:c>
      <x:c r="K32" s="150" t="str">
        <x:v>lysine methylation; arginine methylation; mono-di-trimethylation</x:v>
      </x:c>
      <x:c r="L32" s="185" t="str">
        <x:v>https://biomics.lab.nycu.edu.tw/dbPTM/statistics.php</x:v>
      </x:c>
      <x:c r="M32" s="151" t="str">
        <x:v>high</x:v>
      </x:c>
      <x:c r="N32" s="151" t="n">
        <x:v>1</x:v>
      </x:c>
      <x:c r="O32" s="151" t="n">
        <x:v>1</x:v>
      </x:c>
      <x:c r="P32" s="151" t="n">
        <x:v>1</x:v>
      </x:c>
      <x:c r="Q32" s="151" t="n">
        <x:v>1</x:v>
      </x:c>
      <x:c r="R32" s="150" t="str">
        <x:v>residue and stoichiometric variants are subtypes</x:v>
      </x:c>
    </x:row>
    <x:row r="33" ht="31.5" customHeight="1">
      <x:c r="A33" s="157" t="str">
        <x:v>ADJ032</x:v>
      </x:c>
      <x:c r="B33" s="158" t="str">
        <x:v>Methylthiolation</x:v>
      </x:c>
      <x:c r="C33" s="158" t="str">
        <x:v>Small-group and nucleotide additions</x:v>
      </x:c>
      <x:c r="D33" s="159" t="n">
        <x:v>1</x:v>
      </x:c>
      <x:c r="E33" s="158" t="str">
        <x:v>inclusive_biological</x:v>
      </x:c>
      <x:c r="F33" s="158" t="str">
        <x:v>established</x:v>
      </x:c>
      <x:c r="G33" s="158" t="str">
        <x:v>Stable small-group installation or residue conversion; acceptor residue, linkage, and donor variant are child fields unless chemically distinct.</x:v>
      </x:c>
      <x:c r="H33" s="158" t="str">
        <x:v>RimO beta-methylthiolation | 3-methylthioaspartate</x:v>
      </x:c>
      <x:c r="I33" s="158" t="str">
        <x:v>ADDED after ontology/database correction pass</x:v>
      </x:c>
      <x:c r="J33" s="158" t="str">
        <x:v>primary-literature-validated natural covalent end state</x:v>
      </x:c>
      <x:c r="K33" s="158" t="str">
        <x:v>Methylthiolation</x:v>
      </x:c>
      <x:c r="L33" s="184" t="str">
        <x:v>https://doi.org/10.1073/pnas.0708608105 | https://ftp.uniprot.org/pub/databases/uniprot/current_release/knowledgebase/complete/docs/ptmlist.txt</x:v>
      </x:c>
      <x:c r="M33" s="159" t="str">
        <x:v>high</x:v>
      </x:c>
      <x:c r="N33" s="159" t="n">
        <x:v>1</x:v>
      </x:c>
      <x:c r="O33" s="159" t="n">
        <x:v>1</x:v>
      </x:c>
      <x:c r="P33" s="159" t="n">
        <x:v>1</x:v>
      </x:c>
      <x:c r="Q33" s="159" t="n">
        <x:v>1</x:v>
      </x:c>
      <x:c r="R33" s="158" t="str">
        <x:v>Radical-SAM installation exemplified by RimO-mediated beta-methylthioaspartate.</x:v>
      </x:c>
    </x:row>
    <x:row r="34" ht="31.5" customHeight="1">
      <x:c r="A34" s="149" t="str">
        <x:v>ADJ033</x:v>
      </x:c>
      <x:c r="B34" s="150" t="str">
        <x:v>NMPylation</x:v>
      </x:c>
      <x:c r="C34" s="150" t="str">
        <x:v>Small-group and nucleotide additions</x:v>
      </x:c>
      <x:c r="D34" s="151" t="n">
        <x:v>1</x:v>
      </x:c>
      <x:c r="E34" s="150" t="str">
        <x:v>inclusive_biological</x:v>
      </x:c>
      <x:c r="F34" s="150" t="str">
        <x:v>established</x:v>
      </x:c>
      <x:c r="G34" s="150" t="str">
        <x:v>Stable small-group installation or residue conversion; acceptor residue, linkage, and donor variant are child fields unless chemically distinct.</x:v>
      </x:c>
      <x:c r="H34" s="150" t="str">
        <x:v>AMPylation | UMPylation | acceptor residue and linkage</x:v>
      </x:c>
      <x:c r="I34" s="150" t="str">
        <x:v>MERGED validated AMP and UMP donors; unsupported guanosine NMP transfer excluded</x:v>
      </x:c>
      <x:c r="J34" s="150" t="str">
        <x:v>dbPTM live named end state</x:v>
      </x:c>
      <x:c r="K34" s="150" t="str">
        <x:v>adenylylation; AMPylation</x:v>
      </x:c>
      <x:c r="L34" s="185" t="str">
        <x:v>https://biomics.lab.nycu.edu.tw/dbPTM/statistics.php</x:v>
      </x:c>
      <x:c r="M34" s="151" t="str">
        <x:v>high</x:v>
      </x:c>
      <x:c r="N34" s="151" t="n">
        <x:v>1</x:v>
      </x:c>
      <x:c r="O34" s="151" t="n">
        <x:v>1</x:v>
      </x:c>
      <x:c r="P34" s="151" t="n">
        <x:v>1</x:v>
      </x:c>
      <x:c r="Q34" s="151" t="n">
        <x:v>1</x:v>
      </x:c>
      <x:c r="R34" s="150" t="str"/>
    </x:row>
    <x:row r="35" ht="31.5" customHeight="1">
      <x:c r="A35" s="157" t="str">
        <x:v>ADJ034</x:v>
      </x:c>
      <x:c r="B35" s="158" t="str">
        <x:v>Phosphoaminoalcoholation</x:v>
      </x:c>
      <x:c r="C35" s="158" t="str">
        <x:v>Small-group and nucleotide additions</x:v>
      </x:c>
      <x:c r="D35" s="159" t="n">
        <x:v>1</x:v>
      </x:c>
      <x:c r="E35" s="158" t="str">
        <x:v>inclusive_biological</x:v>
      </x:c>
      <x:c r="F35" s="158" t="str">
        <x:v>established</x:v>
      </x:c>
      <x:c r="G35" s="158" t="str">
        <x:v>Stable small-group installation or residue conversion; acceptor residue, linkage, and donor variant are child fields unless chemically distinct.</x:v>
      </x:c>
      <x:c r="H35" s="158" t="str">
        <x:v>phosphocholination | phosphoethanolamination</x:v>
      </x:c>
      <x:c r="I35" s="158" t="str">
        <x:v>MERGED amino-alcohol donor identity as a child field</x:v>
      </x:c>
      <x:c r="J35" s="158" t="str">
        <x:v>observed cross-vocabulary family</x:v>
      </x:c>
      <x:c r="K35" s="158" t="str">
        <x:v>phosphorylcholination; phosphocholine-serine</x:v>
      </x:c>
      <x:c r="L35" s="184" t="str">
        <x:v>https://proteomescout.wustl.edu/ | https://purl.obolibrary.org/obo/mod.obo</x:v>
      </x:c>
      <x:c r="M35" s="159" t="str">
        <x:v>high</x:v>
      </x:c>
      <x:c r="N35" s="159" t="n">
        <x:v>1</x:v>
      </x:c>
      <x:c r="O35" s="159" t="n">
        <x:v>1</x:v>
      </x:c>
      <x:c r="P35" s="159" t="n">
        <x:v>1</x:v>
      </x:c>
      <x:c r="Q35" s="159" t="n">
        <x:v>1</x:v>
      </x:c>
      <x:c r="R35" s="158" t="str"/>
    </x:row>
    <x:row r="36" ht="31.5" customHeight="1">
      <x:c r="A36" s="149" t="str">
        <x:v>ADJ035</x:v>
      </x:c>
      <x:c r="B36" s="150" t="str">
        <x:v>Phosphoglycerylation</x:v>
      </x:c>
      <x:c r="C36" s="150" t="str">
        <x:v>Small-group and nucleotide additions</x:v>
      </x:c>
      <x:c r="D36" s="151" t="n">
        <x:v>1</x:v>
      </x:c>
      <x:c r="E36" s="150" t="str">
        <x:v>inclusive_biological</x:v>
      </x:c>
      <x:c r="F36" s="150" t="str">
        <x:v>established</x:v>
      </x:c>
      <x:c r="G36" s="150" t="str">
        <x:v>Stable small-group installation or residue conversion; acceptor residue, linkage, and donor variant are child fields unless chemically distinct.</x:v>
      </x:c>
      <x:c r="H36" s="150" t="str"/>
      <x:c r="I36" s="150" t="str">
        <x:v>KEPT as a chemically/biologically distinct installed end state</x:v>
      </x:c>
      <x:c r="J36" s="150" t="str">
        <x:v>dbPTM live named end state</x:v>
      </x:c>
      <x:c r="K36" s="150" t="str">
        <x:v>3-phosphoglyceryl-lysine; phosphoglycerylation</x:v>
      </x:c>
      <x:c r="L36" s="185" t="str">
        <x:v>https://biomics.lab.nycu.edu.tw/dbPTM/statistics.php | https://cplm.biocuckoo.cn/</x:v>
      </x:c>
      <x:c r="M36" s="151" t="str">
        <x:v>high</x:v>
      </x:c>
      <x:c r="N36" s="151" t="n">
        <x:v>1</x:v>
      </x:c>
      <x:c r="O36" s="151" t="n">
        <x:v>1</x:v>
      </x:c>
      <x:c r="P36" s="151" t="n">
        <x:v>1</x:v>
      </x:c>
      <x:c r="Q36" s="151" t="n">
        <x:v>1</x:v>
      </x:c>
      <x:c r="R36" s="150" t="str"/>
    </x:row>
    <x:row r="37" ht="31.5" customHeight="1">
      <x:c r="A37" s="157" t="str">
        <x:v>ADJ036</x:v>
      </x:c>
      <x:c r="B37" s="158" t="str">
        <x:v>Phosphorylation</x:v>
      </x:c>
      <x:c r="C37" s="158" t="str">
        <x:v>Small-group and nucleotide additions</x:v>
      </x:c>
      <x:c r="D37" s="159" t="n">
        <x:v>1</x:v>
      </x:c>
      <x:c r="E37" s="158" t="str">
        <x:v>inclusive_biological</x:v>
      </x:c>
      <x:c r="F37" s="158" t="str">
        <x:v>established</x:v>
      </x:c>
      <x:c r="G37" s="158" t="str">
        <x:v>Stable small-group installation or residue conversion; acceptor residue, linkage, and donor variant are child fields unless chemically distinct.</x:v>
      </x:c>
      <x:c r="H37" s="158" t="str"/>
      <x:c r="I37" s="158" t="str">
        <x:v>KEPT as a chemically/biologically distinct installed end state</x:v>
      </x:c>
      <x:c r="J37" s="158" t="str">
        <x:v>dbPTM live named end state</x:v>
      </x:c>
      <x:c r="K37" s="158" t="str">
        <x:v>O-phosphorylation; N-phosphorylation; phosphoserine; phosphothreonine; phosphotyrosine; phosphohistidine</x:v>
      </x:c>
      <x:c r="L37" s="184" t="str">
        <x:v>https://biomics.lab.nycu.edu.tw/dbPTM/statistics.php</x:v>
      </x:c>
      <x:c r="M37" s="159" t="str">
        <x:v>high</x:v>
      </x:c>
      <x:c r="N37" s="159" t="n">
        <x:v>1</x:v>
      </x:c>
      <x:c r="O37" s="159" t="n">
        <x:v>1</x:v>
      </x:c>
      <x:c r="P37" s="159" t="n">
        <x:v>1</x:v>
      </x:c>
      <x:c r="Q37" s="159" t="n">
        <x:v>1</x:v>
      </x:c>
      <x:c r="R37" s="158" t="str">
        <x:v>acceptor residue variants are subtypes</x:v>
      </x:c>
    </x:row>
    <x:row r="38" ht="31.5" customHeight="1">
      <x:c r="A38" s="149" t="str">
        <x:v>ADJ037</x:v>
      </x:c>
      <x:c r="B38" s="150" t="str">
        <x:v>Protein monoaminylation</x:v>
      </x:c>
      <x:c r="C38" s="150" t="str">
        <x:v>Small-group and nucleotide additions</x:v>
      </x:c>
      <x:c r="D38" s="151" t="n">
        <x:v>1</x:v>
      </x:c>
      <x:c r="E38" s="150" t="str">
        <x:v>inclusive_biological</x:v>
      </x:c>
      <x:c r="F38" s="150" t="str">
        <x:v>established</x:v>
      </x:c>
      <x:c r="G38" s="150" t="str">
        <x:v>Stable small-group installation or residue conversion; acceptor residue, linkage, and donor variant are child fields unless chemically distinct.</x:v>
      </x:c>
      <x:c r="H38" s="150" t="str">
        <x:v>serotonylation | dopaminylation | histaminylation | noradrenalinylation</x:v>
      </x:c>
      <x:c r="I38" s="150" t="str">
        <x:v>MERGED transglutaminase-installed monoamine donor identity as a child field</x:v>
      </x:c>
      <x:c r="J38" s="150" t="str">
        <x:v>dbPTM live named end state plus normalized aliases</x:v>
      </x:c>
      <x:c r="K38" s="150" t="str">
        <x:v>serotonylation; dopaminylation; histaminylation; monoaminylation</x:v>
      </x:c>
      <x:c r="L38" s="185" t="str">
        <x:v>https://biomics.lab.nycu.edu.tw/dbPTM/statistics.php | https://pmc.ncbi.nlm.nih.gov/articles/PMC10516925/</x:v>
      </x:c>
      <x:c r="M38" s="151" t="str">
        <x:v>high</x:v>
      </x:c>
      <x:c r="N38" s="151" t="n">
        <x:v>1</x:v>
      </x:c>
      <x:c r="O38" s="151" t="n">
        <x:v>1</x:v>
      </x:c>
      <x:c r="P38" s="151" t="n">
        <x:v>1</x:v>
      </x:c>
      <x:c r="Q38" s="151" t="n">
        <x:v>1</x:v>
      </x:c>
      <x:c r="R38" s="150" t="str">
        <x:v>serotonin is the dbPTM exemplar and related transglutaminase-installed monoamines are treated as subtypes</x:v>
      </x:c>
    </x:row>
    <x:row r="39" ht="31.5" customHeight="1">
      <x:c r="A39" s="157" t="str">
        <x:v>ADJ038</x:v>
      </x:c>
      <x:c r="B39" s="158" t="str">
        <x:v>Sulfation</x:v>
      </x:c>
      <x:c r="C39" s="158" t="str">
        <x:v>Small-group and nucleotide additions</x:v>
      </x:c>
      <x:c r="D39" s="159" t="n">
        <x:v>1</x:v>
      </x:c>
      <x:c r="E39" s="158" t="str">
        <x:v>inclusive_biological</x:v>
      </x:c>
      <x:c r="F39" s="158" t="str">
        <x:v>established</x:v>
      </x:c>
      <x:c r="G39" s="158" t="str">
        <x:v>Stable small-group installation or residue conversion; acceptor residue, linkage, and donor variant are child fields unless chemically distinct.</x:v>
      </x:c>
      <x:c r="H39" s="158" t="str"/>
      <x:c r="I39" s="158" t="str">
        <x:v>KEPT as a chemically/biologically distinct installed end state</x:v>
      </x:c>
      <x:c r="J39" s="158" t="str">
        <x:v>dbPTM live named end state</x:v>
      </x:c>
      <x:c r="K39" s="158" t="str">
        <x:v>tyrosine sulfation; carbohydrate sulfation</x:v>
      </x:c>
      <x:c r="L39" s="184" t="str">
        <x:v>https://biomics.lab.nycu.edu.tw/dbPTM/statistics.php</x:v>
      </x:c>
      <x:c r="M39" s="159" t="str">
        <x:v>high</x:v>
      </x:c>
      <x:c r="N39" s="159" t="n">
        <x:v>1</x:v>
      </x:c>
      <x:c r="O39" s="159" t="n">
        <x:v>1</x:v>
      </x:c>
      <x:c r="P39" s="159" t="n">
        <x:v>1</x:v>
      </x:c>
      <x:c r="Q39" s="159" t="n">
        <x:v>1</x:v>
      </x:c>
      <x:c r="R39" s="158" t="str"/>
    </x:row>
    <x:row r="40" ht="31.5" customHeight="1">
      <x:c r="A40" s="149" t="str">
        <x:v>ADJ039</x:v>
      </x:c>
      <x:c r="B40" s="150" t="str">
        <x:v>Thiocarboxylation</x:v>
      </x:c>
      <x:c r="C40" s="150" t="str">
        <x:v>Small-group and nucleotide additions</x:v>
      </x:c>
      <x:c r="D40" s="151" t="n">
        <x:v>1</x:v>
      </x:c>
      <x:c r="E40" s="150" t="str">
        <x:v>inclusive_biological</x:v>
      </x:c>
      <x:c r="F40" s="150" t="str">
        <x:v>established</x:v>
      </x:c>
      <x:c r="G40" s="150" t="str">
        <x:v>Stable small-group installation or residue conversion; acceptor residue, linkage, and donor variant are child fields unless chemically distinct.</x:v>
      </x:c>
      <x:c r="H40" s="150" t="str"/>
      <x:c r="I40" s="150" t="str">
        <x:v>KEPT as a chemically/biologically distinct installed end state</x:v>
      </x:c>
      <x:c r="J40" s="150" t="str">
        <x:v>dbPTM live named end state</x:v>
      </x:c>
      <x:c r="K40" s="150" t="str">
        <x:v>C-terminal thiocarboxylation; protein thiocarboxylate</x:v>
      </x:c>
      <x:c r="L40" s="185" t="str">
        <x:v>https://biomics.lab.nycu.edu.tw/dbPTM/statistics.php</x:v>
      </x:c>
      <x:c r="M40" s="151" t="str">
        <x:v>high</x:v>
      </x:c>
      <x:c r="N40" s="151" t="n">
        <x:v>1</x:v>
      </x:c>
      <x:c r="O40" s="151" t="n">
        <x:v>1</x:v>
      </x:c>
      <x:c r="P40" s="151" t="n">
        <x:v>1</x:v>
      </x:c>
      <x:c r="Q40" s="151" t="n">
        <x:v>1</x:v>
      </x:c>
      <x:c r="R40" s="150" t="str"/>
    </x:row>
    <x:row r="41" ht="31.5" customHeight="1">
      <x:c r="A41" s="157" t="str">
        <x:v>ADJ040</x:v>
      </x:c>
      <x:c r="B41" s="158" t="str">
        <x:v>Tyrosination</x:v>
      </x:c>
      <x:c r="C41" s="158" t="str">
        <x:v>Small-group and nucleotide additions</x:v>
      </x:c>
      <x:c r="D41" s="159" t="n">
        <x:v>1</x:v>
      </x:c>
      <x:c r="E41" s="158" t="str">
        <x:v>inclusive_biological</x:v>
      </x:c>
      <x:c r="F41" s="158" t="str">
        <x:v>established</x:v>
      </x:c>
      <x:c r="G41" s="158" t="str">
        <x:v>Stable small-group installation or residue conversion; acceptor residue, linkage, and donor variant are child fields unless chemically distinct.</x:v>
      </x:c>
      <x:c r="H41" s="158" t="str"/>
      <x:c r="I41" s="158" t="str">
        <x:v>KEPT as a chemically/biologically distinct installed end state</x:v>
      </x:c>
      <x:c r="J41" s="158" t="str">
        <x:v>primary and review-backed family</x:v>
      </x:c>
      <x:c r="K41" s="158" t="str">
        <x:v>tubulin tyrosination; C-terminal tyrosine addition</x:v>
      </x:c>
      <x:c r="L41" s="184" t="str">
        <x:v>https://pubmed.ncbi.nlm.nih.gov/3077315/</x:v>
      </x:c>
      <x:c r="M41" s="159" t="str">
        <x:v>high</x:v>
      </x:c>
      <x:c r="N41" s="159" t="n">
        <x:v>1</x:v>
      </x:c>
      <x:c r="O41" s="159" t="n">
        <x:v>1</x:v>
      </x:c>
      <x:c r="P41" s="159" t="n">
        <x:v>1</x:v>
      </x:c>
      <x:c r="Q41" s="159" t="n">
        <x:v>1</x:v>
      </x:c>
      <x:c r="R41" s="158" t="str"/>
    </x:row>
    <x:row r="42" ht="31.5" customHeight="1">
      <x:c r="A42" s="149" t="str">
        <x:v>ADJ041</x:v>
      </x:c>
      <x:c r="B42" s="150" t="str">
        <x:v>Glycation and AGE formation</x:v>
      </x:c>
      <x:c r="C42" s="150" t="str">
        <x:v>Glycosylation and glycation</x:v>
      </x:c>
      <x:c r="D42" s="151" t="n">
        <x:v>1</x:v>
      </x:c>
      <x:c r="E42" s="150" t="str">
        <x:v>inclusive_biological</x:v>
      </x:c>
      <x:c r="F42" s="150" t="str">
        <x:v>established</x:v>
      </x:c>
      <x:c r="G42" s="150" t="str">
        <x:v>Stable covalent carbohydrate or glycation end state; sugar, linkage, branching, and glycoform are child fields.</x:v>
      </x:c>
      <x:c r="H42" s="150" t="str">
        <x:v>carboxymethyllysine | carboxyethyllysine | stable advanced glycation end products</x:v>
      </x:c>
      <x:c r="I42" s="150" t="str">
        <x:v>MERGED dbPTM carboxyethylation into the stable glycation/AGE family</x:v>
      </x:c>
      <x:c r="J42" s="150" t="str">
        <x:v>dbPTM live named end state</x:v>
      </x:c>
      <x:c r="K42" s="150" t="str">
        <x:v>advanced glycation end products; AGE formation; glucose-derived adducts</x:v>
      </x:c>
      <x:c r="L42" s="185" t="str">
        <x:v>https://biomics.lab.nycu.edu.tw/dbPTM/statistics.php</x:v>
      </x:c>
      <x:c r="M42" s="151" t="str">
        <x:v>high</x:v>
      </x:c>
      <x:c r="N42" s="151" t="n">
        <x:v>1</x:v>
      </x:c>
      <x:c r="O42" s="151" t="n">
        <x:v>1</x:v>
      </x:c>
      <x:c r="P42" s="151" t="n">
        <x:v>1</x:v>
      </x:c>
      <x:c r="Q42" s="151" t="n">
        <x:v>1</x:v>
      </x:c>
      <x:c r="R42" s="150" t="str">
        <x:v>stable nonenzymatic in-vivo products included</x:v>
      </x:c>
    </x:row>
    <x:row r="43" ht="31.5" customHeight="1">
      <x:c r="A43" s="157" t="str">
        <x:v>ADJ042</x:v>
      </x:c>
      <x:c r="B43" s="158" t="str">
        <x:v>Protein glycosylation</x:v>
      </x:c>
      <x:c r="C43" s="158" t="str">
        <x:v>Glycosylation and glycation</x:v>
      </x:c>
      <x:c r="D43" s="159" t="n">
        <x:v>1</x:v>
      </x:c>
      <x:c r="E43" s="158" t="str">
        <x:v>inclusive_biological</x:v>
      </x:c>
      <x:c r="F43" s="158" t="str">
        <x:v>established</x:v>
      </x:c>
      <x:c r="G43" s="158" t="str">
        <x:v>Stable covalent carbohydrate or glycation end state; sugar, linkage, branching, and glycoform are child fields.</x:v>
      </x:c>
      <x:c r="H43" s="158" t="str">
        <x:v>N-, O-, C-, S-, and arginine N-glycosylation | glycan identity, linkage, branching, and glycoform</x:v>
      </x:c>
      <x:c r="I43" s="158" t="str">
        <x:v>MERGED linkage and sugar labels as child fields; includes N-D-glucuronoyl glycine</x:v>
      </x:c>
      <x:c r="J43" s="158" t="str">
        <x:v>dbPTM live named linkage family</x:v>
      </x:c>
      <x:c r="K43" s="158" t="str">
        <x:v>O-GlcNAcylation; O-GalNAcylation; O-mannosylation; O-fucosylation; O-glucosylation; O-xylosylation; O-galactosylation; O-arabinosylation</x:v>
      </x:c>
      <x:c r="L43" s="184" t="str">
        <x:v>https://ftp.uniprot.org/pub/databases/uniprot/current_release/knowledgebase/complete/docs/ptmlist.txt | https://purl.obolibrary.org/obo/mod.obo | https://www.glygen.org/</x:v>
      </x:c>
      <x:c r="M43" s="159" t="str">
        <x:v>high</x:v>
      </x:c>
      <x:c r="N43" s="159" t="n">
        <x:v>1</x:v>
      </x:c>
      <x:c r="O43" s="159" t="n">
        <x:v>1</x:v>
      </x:c>
      <x:c r="P43" s="159" t="n">
        <x:v>1</x:v>
      </x:c>
      <x:c r="Q43" s="159" t="n">
        <x:v>1</x:v>
      </x:c>
      <x:c r="R43" s="158" t="str">
        <x:v>no count split under the linkage-family rule; UniProt 2026_02 contains 21 distinct first-sugar or phosphosugar labels after collapsing explicit-chain variants</x:v>
      </x:c>
    </x:row>
    <x:row r="44" ht="31.5" customHeight="1">
      <x:c r="A44" s="149" t="str">
        <x:v>ADJ043</x:v>
      </x:c>
      <x:c r="B44" s="150" t="str">
        <x:v>Cholesterylation</x:v>
      </x:c>
      <x:c r="C44" s="150" t="str">
        <x:v>Lipidation</x:v>
      </x:c>
      <x:c r="D44" s="151" t="n">
        <x:v>1</x:v>
      </x:c>
      <x:c r="E44" s="150" t="str">
        <x:v>inclusive_biological</x:v>
      </x:c>
      <x:c r="F44" s="150" t="str">
        <x:v>established</x:v>
      </x:c>
      <x:c r="G44" s="150" t="str">
        <x:v>Stable covalent lipid attachment; chain, linkage, and acceptor residue are child fields unless the anchor topology is distinct.</x:v>
      </x:c>
      <x:c r="H44" s="150" t="str"/>
      <x:c r="I44" s="150" t="str">
        <x:v>KEPT as a chemically/biologically distinct installed end state</x:v>
      </x:c>
      <x:c r="J44" s="150" t="str">
        <x:v>normalized dbPTM family</x:v>
      </x:c>
      <x:c r="K44" s="150" t="str">
        <x:v>cholesterol ester; cholesterylation</x:v>
      </x:c>
      <x:c r="L44" s="185" t="str">
        <x:v>https://biomics.lab.nycu.edu.tw/dbPTM/statistics.php</x:v>
      </x:c>
      <x:c r="M44" s="151" t="str">
        <x:v>high</x:v>
      </x:c>
      <x:c r="N44" s="151" t="n">
        <x:v>1</x:v>
      </x:c>
      <x:c r="O44" s="151" t="n">
        <x:v>1</x:v>
      </x:c>
      <x:c r="P44" s="151" t="n">
        <x:v>1</x:v>
      </x:c>
      <x:c r="Q44" s="151" t="n">
        <x:v>1</x:v>
      </x:c>
      <x:c r="R44" s="150" t="str">
        <x:v>dbPTM Cholesterol ester and Cholesterylation merged</x:v>
      </x:c>
    </x:row>
    <x:row r="45" ht="31.5" customHeight="1">
      <x:c r="A45" s="157" t="str">
        <x:v>ADJ044</x:v>
      </x:c>
      <x:c r="B45" s="158" t="str">
        <x:v>GPI anchoring</x:v>
      </x:c>
      <x:c r="C45" s="158" t="str">
        <x:v>Lipidation</x:v>
      </x:c>
      <x:c r="D45" s="159" t="n">
        <x:v>1</x:v>
      </x:c>
      <x:c r="E45" s="158" t="str">
        <x:v>inclusive_biological</x:v>
      </x:c>
      <x:c r="F45" s="158" t="str">
        <x:v>established</x:v>
      </x:c>
      <x:c r="G45" s="158" t="str">
        <x:v>Stable covalent lipid attachment; chain, linkage, and acceptor residue are child fields unless the anchor topology is distinct.</x:v>
      </x:c>
      <x:c r="H45" s="158" t="str"/>
      <x:c r="I45" s="158" t="str">
        <x:v>KEPT as a chemically/biologically distinct installed end state</x:v>
      </x:c>
      <x:c r="J45" s="158" t="str">
        <x:v>dbPTM live named end state</x:v>
      </x:c>
      <x:c r="K45" s="158" t="str">
        <x:v>glycosylphosphatidylinositol anchor; GPI-anchor</x:v>
      </x:c>
      <x:c r="L45" s="184" t="str">
        <x:v>https://biomics.lab.nycu.edu.tw/dbPTM/statistics.php | https://ftp.uniprot.org/pub/databases/uniprot/current_release/knowledgebase/complete/docs/ptmlist.txt</x:v>
      </x:c>
      <x:c r="M45" s="159" t="str">
        <x:v>high</x:v>
      </x:c>
      <x:c r="N45" s="159" t="n">
        <x:v>1</x:v>
      </x:c>
      <x:c r="O45" s="159" t="n">
        <x:v>1</x:v>
      </x:c>
      <x:c r="P45" s="159" t="n">
        <x:v>1</x:v>
      </x:c>
      <x:c r="Q45" s="159" t="n">
        <x:v>1</x:v>
      </x:c>
      <x:c r="R45" s="158" t="str">
        <x:v>assigned to lipidation because the mature product is membrane anchored despite a glycan-containing linker</x:v>
      </x:c>
    </x:row>
    <x:row r="46" ht="31.5" customHeight="1">
      <x:c r="A46" s="149" t="str">
        <x:v>ADJ045</x:v>
      </x:c>
      <x:c r="B46" s="150" t="str">
        <x:v>Hydroxyceramide ester</x:v>
      </x:c>
      <x:c r="C46" s="150" t="str">
        <x:v>Lipidation</x:v>
      </x:c>
      <x:c r="D46" s="151" t="n">
        <x:v>1</x:v>
      </x:c>
      <x:c r="E46" s="150" t="str">
        <x:v>inclusive_biological</x:v>
      </x:c>
      <x:c r="F46" s="150" t="str">
        <x:v>established</x:v>
      </x:c>
      <x:c r="G46" s="150" t="str">
        <x:v>Stable covalent lipid attachment; chain, linkage, and acceptor residue are child fields unless the anchor topology is distinct.</x:v>
      </x:c>
      <x:c r="H46" s="150" t="str"/>
      <x:c r="I46" s="150" t="str">
        <x:v>KEPT as a chemically/biologically distinct installed end state</x:v>
      </x:c>
      <x:c r="J46" s="150" t="str">
        <x:v>dbPTM live named end state</x:v>
      </x:c>
      <x:c r="K46" s="150" t="str">
        <x:v>hydroxyceramide esterification</x:v>
      </x:c>
      <x:c r="L46" s="185" t="str">
        <x:v>https://biomics.lab.nycu.edu.tw/dbPTM/statistics.php</x:v>
      </x:c>
      <x:c r="M46" s="151" t="str">
        <x:v>moderate</x:v>
      </x:c>
      <x:c r="N46" s="151" t="n">
        <x:v>1</x:v>
      </x:c>
      <x:c r="O46" s="151" t="n">
        <x:v>1</x:v>
      </x:c>
      <x:c r="P46" s="151" t="n">
        <x:v>1</x:v>
      </x:c>
      <x:c r="Q46" s="151" t="n">
        <x:v>1</x:v>
      </x:c>
      <x:c r="R46" s="150" t="str">
        <x:v>sparse dbPTM family</x:v>
      </x:c>
    </x:row>
    <x:row r="47" ht="31.5" customHeight="1">
      <x:c r="A47" s="157" t="str">
        <x:v>ADJ046</x:v>
      </x:c>
      <x:c r="B47" s="158" t="str">
        <x:v>Phosphatidylethanolamine amidation</x:v>
      </x:c>
      <x:c r="C47" s="158" t="str">
        <x:v>Lipidation</x:v>
      </x:c>
      <x:c r="D47" s="159" t="n">
        <x:v>1</x:v>
      </x:c>
      <x:c r="E47" s="158" t="str">
        <x:v>inclusive_biological</x:v>
      </x:c>
      <x:c r="F47" s="158" t="str">
        <x:v>established</x:v>
      </x:c>
      <x:c r="G47" s="158" t="str">
        <x:v>Stable covalent lipid attachment; chain, linkage, and acceptor residue are child fields unless the anchor topology is distinct.</x:v>
      </x:c>
      <x:c r="H47" s="158" t="str"/>
      <x:c r="I47" s="158" t="str">
        <x:v>KEPT as a chemically/biologically distinct installed end state</x:v>
      </x:c>
      <x:c r="J47" s="158" t="str">
        <x:v>dbPTM live named end state</x:v>
      </x:c>
      <x:c r="K47" s="158" t="str">
        <x:v>PE amidation; phosphatidylethanolamine attachment</x:v>
      </x:c>
      <x:c r="L47" s="184" t="str">
        <x:v>https://biomics.lab.nycu.edu.tw/dbPTM/statistics.php</x:v>
      </x:c>
      <x:c r="M47" s="159" t="str">
        <x:v>moderate</x:v>
      </x:c>
      <x:c r="N47" s="159" t="n">
        <x:v>1</x:v>
      </x:c>
      <x:c r="O47" s="159" t="n">
        <x:v>1</x:v>
      </x:c>
      <x:c r="P47" s="159" t="n">
        <x:v>1</x:v>
      </x:c>
      <x:c r="Q47" s="159" t="n">
        <x:v>1</x:v>
      </x:c>
      <x:c r="R47" s="158" t="str"/>
    </x:row>
    <x:row r="48" ht="31.5" customHeight="1">
      <x:c r="A48" s="149" t="str">
        <x:v>ADJ047</x:v>
      </x:c>
      <x:c r="B48" s="150" t="str">
        <x:v>Prenylation</x:v>
      </x:c>
      <x:c r="C48" s="150" t="str">
        <x:v>Lipidation</x:v>
      </x:c>
      <x:c r="D48" s="151" t="n">
        <x:v>1</x:v>
      </x:c>
      <x:c r="E48" s="150" t="str">
        <x:v>inclusive_biological</x:v>
      </x:c>
      <x:c r="F48" s="150" t="str">
        <x:v>established</x:v>
      </x:c>
      <x:c r="G48" s="150" t="str">
        <x:v>Stable covalent lipid attachment; chain, linkage, and acceptor residue are child fields unless the anchor topology is distinct.</x:v>
      </x:c>
      <x:c r="H48" s="150" t="str">
        <x:v>farnesylation | geranylgeranylation | hydroxyfarnesylation</x:v>
      </x:c>
      <x:c r="I48" s="150" t="str">
        <x:v>MERGED prenyl donor identity as a child field</x:v>
      </x:c>
      <x:c r="J48" s="150" t="str">
        <x:v>dbPTM live named end state</x:v>
      </x:c>
      <x:c r="K48" s="150" t="str">
        <x:v>protein farnesylation; C15 prenylation</x:v>
      </x:c>
      <x:c r="L48" s="185" t="str">
        <x:v>https://biomics.lab.nycu.edu.tw/dbPTM/statistics.php</x:v>
      </x:c>
      <x:c r="M48" s="151" t="str">
        <x:v>high</x:v>
      </x:c>
      <x:c r="N48" s="151" t="n">
        <x:v>1</x:v>
      </x:c>
      <x:c r="O48" s="151" t="n">
        <x:v>1</x:v>
      </x:c>
      <x:c r="P48" s="151" t="n">
        <x:v>1</x:v>
      </x:c>
      <x:c r="Q48" s="151" t="n">
        <x:v>1</x:v>
      </x:c>
      <x:c r="R48" s="150" t="str"/>
    </x:row>
    <x:row r="49" ht="31.5" customHeight="1">
      <x:c r="A49" s="157" t="str">
        <x:v>ADJ048</x:v>
      </x:c>
      <x:c r="B49" s="158" t="str">
        <x:v>Protein fatty acylation</x:v>
      </x:c>
      <x:c r="C49" s="158" t="str">
        <x:v>Lipidation</x:v>
      </x:c>
      <x:c r="D49" s="159" t="n">
        <x:v>1</x:v>
      </x:c>
      <x:c r="E49" s="158" t="str">
        <x:v>inclusive_biological</x:v>
      </x:c>
      <x:c r="F49" s="158" t="str">
        <x:v>established</x:v>
      </x:c>
      <x:c r="G49" s="158" t="str">
        <x:v>Stable covalent lipid attachment; chain, linkage, and acceptor residue are child fields unless the anchor topology is distinct.</x:v>
      </x:c>
      <x:c r="H49" s="158" t="str">
        <x:v>octanoyl | decanoyl | myristoyl | palmitoyl | palmitoleoyl | stearoyl | long-chain lysine fatty acylation | N-, O-, S-, terminal, and side-chain linkages</x:v>
      </x:c>
      <x:c r="I49" s="158" t="str">
        <x:v>MERGED fatty-acid chain length, unsaturation, residue, and linkage as child fields</x:v>
      </x:c>
      <x:c r="J49" s="158" t="str">
        <x:v>normalized dbPTM family</x:v>
      </x:c>
      <x:c r="K49" s="158" t="str">
        <x:v>S-palmitoylation; N-palmitoylation; O-palmitoylation</x:v>
      </x:c>
      <x:c r="L49" s="184" t="str">
        <x:v>https://biomics.lab.nycu.edu.tw/dbPTM/statistics.php | https://ftp.uniprot.org/pub/databases/uniprot/current_release/knowledgebase/complete/docs/ptmlist.txt | https://pmc.ncbi.nlm.nih.gov/articles/PMC8880637/</x:v>
      </x:c>
      <x:c r="M49" s="159" t="str">
        <x:v>high</x:v>
      </x:c>
      <x:c r="N49" s="159" t="n">
        <x:v>1</x:v>
      </x:c>
      <x:c r="O49" s="159" t="n">
        <x:v>1</x:v>
      </x:c>
      <x:c r="P49" s="159" t="n">
        <x:v>1</x:v>
      </x:c>
      <x:c r="Q49" s="159" t="n">
        <x:v>1</x:v>
      </x:c>
      <x:c r="R49" s="158" t="str">
        <x:v>linkage and acceptor variants merged under one palmitoyl-payload family</x:v>
      </x:c>
    </x:row>
    <x:row r="50" ht="31.5" customHeight="1">
      <x:c r="A50" s="149" t="str">
        <x:v>ADJ049</x:v>
      </x:c>
      <x:c r="B50" s="150" t="str">
        <x:v>S-archaeol</x:v>
      </x:c>
      <x:c r="C50" s="150" t="str">
        <x:v>Lipidation</x:v>
      </x:c>
      <x:c r="D50" s="151" t="n">
        <x:v>1</x:v>
      </x:c>
      <x:c r="E50" s="150" t="str">
        <x:v>inclusive_biological</x:v>
      </x:c>
      <x:c r="F50" s="150" t="str">
        <x:v>established</x:v>
      </x:c>
      <x:c r="G50" s="150" t="str">
        <x:v>Stable covalent lipid attachment; chain, linkage, and acceptor residue are child fields unless the anchor topology is distinct.</x:v>
      </x:c>
      <x:c r="H50" s="150" t="str"/>
      <x:c r="I50" s="150" t="str">
        <x:v>KEPT as a chemically/biologically distinct installed end state</x:v>
      </x:c>
      <x:c r="J50" s="150" t="str">
        <x:v>dbPTM live named end state</x:v>
      </x:c>
      <x:c r="K50" s="150" t="str">
        <x:v>S-archaeol attachment; archaeal lipidation</x:v>
      </x:c>
      <x:c r="L50" s="185" t="str">
        <x:v>https://biomics.lab.nycu.edu.tw/dbPTM/statistics.php</x:v>
      </x:c>
      <x:c r="M50" s="151" t="str">
        <x:v>moderate</x:v>
      </x:c>
      <x:c r="N50" s="151" t="n">
        <x:v>1</x:v>
      </x:c>
      <x:c r="O50" s="151" t="n">
        <x:v>1</x:v>
      </x:c>
      <x:c r="P50" s="151" t="n">
        <x:v>1</x:v>
      </x:c>
      <x:c r="Q50" s="151" t="n">
        <x:v>1</x:v>
      </x:c>
      <x:c r="R50" s="150" t="str">
        <x:v>archaeal sparse family</x:v>
      </x:c>
    </x:row>
    <x:row r="51" ht="31.5" customHeight="1">
      <x:c r="A51" s="157" t="str">
        <x:v>ADJ050</x:v>
      </x:c>
      <x:c r="B51" s="158" t="str">
        <x:v>S-diacylglycerol</x:v>
      </x:c>
      <x:c r="C51" s="158" t="str">
        <x:v>Lipidation</x:v>
      </x:c>
      <x:c r="D51" s="159" t="n">
        <x:v>1</x:v>
      </x:c>
      <x:c r="E51" s="158" t="str">
        <x:v>inclusive_biological</x:v>
      </x:c>
      <x:c r="F51" s="158" t="str">
        <x:v>established</x:v>
      </x:c>
      <x:c r="G51" s="158" t="str">
        <x:v>Stable covalent lipid attachment; chain, linkage, and acceptor residue are child fields unless the anchor topology is distinct.</x:v>
      </x:c>
      <x:c r="H51" s="158" t="str"/>
      <x:c r="I51" s="158" t="str">
        <x:v>KEPT as a chemically/biologically distinct installed end state</x:v>
      </x:c>
      <x:c r="J51" s="158" t="str">
        <x:v>dbPTM live named end state</x:v>
      </x:c>
      <x:c r="K51" s="158" t="str">
        <x:v>S-diacylglyceryl-cysteine; bacterial lipoprotein lipidation</x:v>
      </x:c>
      <x:c r="L51" s="184" t="str">
        <x:v>https://biomics.lab.nycu.edu.tw/dbPTM/statistics.php</x:v>
      </x:c>
      <x:c r="M51" s="159" t="str">
        <x:v>high</x:v>
      </x:c>
      <x:c r="N51" s="159" t="n">
        <x:v>1</x:v>
      </x:c>
      <x:c r="O51" s="159" t="n">
        <x:v>1</x:v>
      </x:c>
      <x:c r="P51" s="159" t="n">
        <x:v>1</x:v>
      </x:c>
      <x:c r="Q51" s="159" t="n">
        <x:v>1</x:v>
      </x:c>
      <x:c r="R51" s="158" t="str"/>
    </x:row>
    <x:row r="52" ht="31.5" customHeight="1">
      <x:c r="A52" s="149" t="str">
        <x:v>ADJ051</x:v>
      </x:c>
      <x:c r="B52" s="150" t="str">
        <x:v>ATG12 conjugation</x:v>
      </x:c>
      <x:c r="C52" s="150" t="str">
        <x:v>Protein, peptide, and nucleic-acid conjugation</x:v>
      </x:c>
      <x:c r="D52" s="151" t="n">
        <x:v>1</x:v>
      </x:c>
      <x:c r="E52" s="150" t="str">
        <x:v>inclusive_biological</x:v>
      </x:c>
      <x:c r="F52" s="150" t="str">
        <x:v>established</x:v>
      </x:c>
      <x:c r="G52" s="150" t="str">
        <x:v>Stable covalent macromolecule attachment; biologically distinct modifier identity and installation route define the family.</x:v>
      </x:c>
      <x:c r="H52" s="150" t="str"/>
      <x:c r="I52" s="150" t="str">
        <x:v>KEPT as a chemically/biologically distinct installed end state</x:v>
      </x:c>
      <x:c r="J52" s="150" t="str">
        <x:v>established ubiquitin-like protein conjugate</x:v>
      </x:c>
      <x:c r="K52" s="150" t="str">
        <x:v>ATG12ylation; ATG12-ATG5 isopeptide conjugate</x:v>
      </x:c>
      <x:c r="L52" s="185" t="str">
        <x:v>https://pmc.ncbi.nlm.nih.gov/articles/PMC5815371/ | https://pmc.ncbi.nlm.nih.gov/articles/PMC3596133/</x:v>
      </x:c>
      <x:c r="M52" s="151" t="str">
        <x:v>high</x:v>
      </x:c>
      <x:c r="N52" s="151" t="n">
        <x:v>1</x:v>
      </x:c>
      <x:c r="O52" s="151" t="n">
        <x:v>1</x:v>
      </x:c>
      <x:c r="P52" s="151" t="n">
        <x:v>1</x:v>
      </x:c>
      <x:c r="Q52" s="151" t="n">
        <x:v>1</x:v>
      </x:c>
      <x:c r="R52" s="150" t="str">
        <x:v>narrow substrate range does not disqualify a distinct protein-tag identity</x:v>
      </x:c>
    </x:row>
    <x:row r="53" ht="31.5" customHeight="1">
      <x:c r="A53" s="157" t="str">
        <x:v>ADJ052</x:v>
      </x:c>
      <x:c r="B53" s="158" t="str">
        <x:v>Bilylation</x:v>
      </x:c>
      <x:c r="C53" s="158" t="str">
        <x:v>Protein, peptide, and nucleic-acid conjugation</x:v>
      </x:c>
      <x:c r="D53" s="159" t="n">
        <x:v>1</x:v>
      </x:c>
      <x:c r="E53" s="158" t="str">
        <x:v>inclusive_biological</x:v>
      </x:c>
      <x:c r="F53" s="158" t="str">
        <x:v>emerging_validated</x:v>
      </x:c>
      <x:c r="G53" s="158" t="str">
        <x:v>Stable covalent macromolecule attachment; biologically distinct modifier identity and installation route define the family.</x:v>
      </x:c>
      <x:c r="H53" s="158" t="str">
        <x:v>BilA conjugation</x:v>
      </x:c>
      <x:c r="I53" s="158" t="str">
        <x:v>ADDED after ontology/database correction pass</x:v>
      </x:c>
      <x:c r="J53" s="158" t="str">
        <x:v>primary-literature-validated natural covalent end state</x:v>
      </x:c>
      <x:c r="K53" s="158" t="str">
        <x:v>Bilylation</x:v>
      </x:c>
      <x:c r="L53" s="184" t="str">
        <x:v>https://doi.org/10.1038/s41586-024-07616-5</x:v>
      </x:c>
      <x:c r="M53" s="159" t="str">
        <x:v>high</x:v>
      </x:c>
      <x:c r="N53" s="159" t="n">
        <x:v>1</x:v>
      </x:c>
      <x:c r="O53" s="159" t="n">
        <x:v>0</x:v>
      </x:c>
      <x:c r="P53" s="159" t="n">
        <x:v>1</x:v>
      </x:c>
      <x:c r="Q53" s="159" t="n">
        <x:v>1</x:v>
      </x:c>
      <x:c r="R53" s="158" t="str">
        <x:v>BilA ubiquitin-like protein is covalently attached to phage tail-fibre proteins during antiphage defence.</x:v>
      </x:c>
    </x:row>
    <x:row r="54" ht="31.5" customHeight="1">
      <x:c r="A54" s="149" t="str">
        <x:v>ADJ053</x:v>
      </x:c>
      <x:c r="B54" s="150" t="str">
        <x:v>Bub conjugation</x:v>
      </x:c>
      <x:c r="C54" s="150" t="str">
        <x:v>Protein, peptide, and nucleic-acid conjugation</x:v>
      </x:c>
      <x:c r="D54" s="151" t="n">
        <x:v>1</x:v>
      </x:c>
      <x:c r="E54" s="150" t="str">
        <x:v>inclusive_biological</x:v>
      </x:c>
      <x:c r="F54" s="150" t="str">
        <x:v>emerging_validated</x:v>
      </x:c>
      <x:c r="G54" s="150" t="str">
        <x:v>Stable covalent macromolecule attachment; biologically distinct modifier identity and installation route define the family.</x:v>
      </x:c>
      <x:c r="H54" s="150" t="str">
        <x:v>Bubylation</x:v>
      </x:c>
      <x:c r="I54" s="150" t="str">
        <x:v>ADDED after ontology/database correction pass</x:v>
      </x:c>
      <x:c r="J54" s="150" t="str">
        <x:v>primary-literature-validated natural covalent end state</x:v>
      </x:c>
      <x:c r="K54" s="150" t="str">
        <x:v>Bub conjugation</x:v>
      </x:c>
      <x:c r="L54" s="185" t="str">
        <x:v>https://doi.org/10.1038/s41594-025-01696-1</x:v>
      </x:c>
      <x:c r="M54" s="151" t="str">
        <x:v>high</x:v>
      </x:c>
      <x:c r="N54" s="151" t="n">
        <x:v>1</x:v>
      </x:c>
      <x:c r="O54" s="151" t="n">
        <x:v>0</x:v>
      </x:c>
      <x:c r="P54" s="151" t="n">
        <x:v>1</x:v>
      </x:c>
      <x:c r="Q54" s="151" t="n">
        <x:v>1</x:v>
      </x:c>
      <x:c r="R54" s="150" t="str">
        <x:v>Biochemically validated alternative bacterial ubiquitination-like pathway with BubA-target conjugates.</x:v>
      </x:c>
    </x:row>
    <x:row r="55" ht="31.5" customHeight="1">
      <x:c r="A55" s="157" t="str">
        <x:v>ADJ054</x:v>
      </x:c>
      <x:c r="B55" s="158" t="str">
        <x:v>cGASylation</x:v>
      </x:c>
      <x:c r="C55" s="158" t="str">
        <x:v>Protein, peptide, and nucleic-acid conjugation</x:v>
      </x:c>
      <x:c r="D55" s="159" t="n">
        <x:v>1</x:v>
      </x:c>
      <x:c r="E55" s="158" t="str">
        <x:v>inclusive_biological</x:v>
      </x:c>
      <x:c r="F55" s="158" t="str">
        <x:v>emerging_validated</x:v>
      </x:c>
      <x:c r="G55" s="158" t="str">
        <x:v>Stable covalent macromolecule attachment; biologically distinct modifier identity and installation route define the family.</x:v>
      </x:c>
      <x:c r="H55" s="158" t="str">
        <x:v>CD-NTase conjugation</x:v>
      </x:c>
      <x:c r="I55" s="158" t="str">
        <x:v>ADDED after ontology/database correction pass</x:v>
      </x:c>
      <x:c r="J55" s="158" t="str">
        <x:v>primary-literature-validated natural covalent end state</x:v>
      </x:c>
      <x:c r="K55" s="158" t="str">
        <x:v>cGASylation</x:v>
      </x:c>
      <x:c r="L55" s="184" t="str">
        <x:v>https://doi.org/10.1038/s41586-023-05862-7</x:v>
      </x:c>
      <x:c r="M55" s="159" t="str">
        <x:v>high</x:v>
      </x:c>
      <x:c r="N55" s="159" t="n">
        <x:v>1</x:v>
      </x:c>
      <x:c r="O55" s="159" t="n">
        <x:v>0</x:v>
      </x:c>
      <x:c r="P55" s="159" t="n">
        <x:v>1</x:v>
      </x:c>
      <x:c r="Q55" s="159" t="n">
        <x:v>1</x:v>
      </x:c>
      <x:c r="R55" s="158" t="str">
        <x:v>Cap2-dependent bacterial cGAS C-terminal conjugation to target Lys; 130 sites reported in the primary study.</x:v>
      </x:c>
    </x:row>
    <x:row r="56" ht="31.5" customHeight="1">
      <x:c r="A56" s="149" t="str">
        <x:v>ADJ055</x:v>
      </x:c>
      <x:c r="B56" s="150" t="str">
        <x:v>FAT10ylation</x:v>
      </x:c>
      <x:c r="C56" s="150" t="str">
        <x:v>Protein, peptide, and nucleic-acid conjugation</x:v>
      </x:c>
      <x:c r="D56" s="151" t="n">
        <x:v>1</x:v>
      </x:c>
      <x:c r="E56" s="150" t="str">
        <x:v>inclusive_biological</x:v>
      </x:c>
      <x:c r="F56" s="150" t="str">
        <x:v>established</x:v>
      </x:c>
      <x:c r="G56" s="150" t="str">
        <x:v>Stable covalent macromolecule attachment; biologically distinct modifier identity and installation route define the family.</x:v>
      </x:c>
      <x:c r="H56" s="150" t="str"/>
      <x:c r="I56" s="150" t="str">
        <x:v>KEPT as a chemically/biologically distinct installed end state</x:v>
      </x:c>
      <x:c r="J56" s="150" t="str">
        <x:v>review-backed protein-tag family</x:v>
      </x:c>
      <x:c r="K56" s="150" t="str">
        <x:v>FAT10 conjugation; FAT10ylation</x:v>
      </x:c>
      <x:c r="L56" s="185" t="str">
        <x:v>https://pmc.ncbi.nlm.nih.gov/articles/PMC8834048/ | https://pmc.ncbi.nlm.nih.gov/articles/PMC5815371/</x:v>
      </x:c>
      <x:c r="M56" s="151" t="str">
        <x:v>high</x:v>
      </x:c>
      <x:c r="N56" s="151" t="n">
        <x:v>1</x:v>
      </x:c>
      <x:c r="O56" s="151" t="n">
        <x:v>1</x:v>
      </x:c>
      <x:c r="P56" s="151" t="n">
        <x:v>1</x:v>
      </x:c>
      <x:c r="Q56" s="151" t="n">
        <x:v>1</x:v>
      </x:c>
      <x:c r="R56" s="150" t="str"/>
    </x:row>
    <x:row r="57" ht="31.5" customHeight="1">
      <x:c r="A57" s="157" t="str">
        <x:v>ADJ056</x:v>
      </x:c>
      <x:c r="B57" s="158" t="str">
        <x:v>ISGylation</x:v>
      </x:c>
      <x:c r="C57" s="158" t="str">
        <x:v>Protein, peptide, and nucleic-acid conjugation</x:v>
      </x:c>
      <x:c r="D57" s="159" t="n">
        <x:v>1</x:v>
      </x:c>
      <x:c r="E57" s="158" t="str">
        <x:v>inclusive_biological</x:v>
      </x:c>
      <x:c r="F57" s="158" t="str">
        <x:v>established</x:v>
      </x:c>
      <x:c r="G57" s="158" t="str">
        <x:v>Stable covalent macromolecule attachment; biologically distinct modifier identity and installation route define the family.</x:v>
      </x:c>
      <x:c r="H57" s="158" t="str"/>
      <x:c r="I57" s="158" t="str">
        <x:v>KEPT as a chemically/biologically distinct installed end state</x:v>
      </x:c>
      <x:c r="J57" s="158" t="str">
        <x:v>review-backed protein-tag family</x:v>
      </x:c>
      <x:c r="K57" s="158" t="str">
        <x:v>ISG15 conjugation; ISGylation</x:v>
      </x:c>
      <x:c r="L57" s="184" t="str">
        <x:v>https://pmc.ncbi.nlm.nih.gov/articles/PMC8834048/ | https://pmc.ncbi.nlm.nih.gov/articles/PMC5815371/</x:v>
      </x:c>
      <x:c r="M57" s="159" t="str">
        <x:v>high</x:v>
      </x:c>
      <x:c r="N57" s="159" t="n">
        <x:v>1</x:v>
      </x:c>
      <x:c r="O57" s="159" t="n">
        <x:v>1</x:v>
      </x:c>
      <x:c r="P57" s="159" t="n">
        <x:v>1</x:v>
      </x:c>
      <x:c r="Q57" s="159" t="n">
        <x:v>1</x:v>
      </x:c>
      <x:c r="R57" s="158" t="str"/>
    </x:row>
    <x:row r="58" ht="31.5" customHeight="1">
      <x:c r="A58" s="149" t="str">
        <x:v>ADJ057</x:v>
      </x:c>
      <x:c r="B58" s="150" t="str">
        <x:v>NEDDylation</x:v>
      </x:c>
      <x:c r="C58" s="150" t="str">
        <x:v>Protein, peptide, and nucleic-acid conjugation</x:v>
      </x:c>
      <x:c r="D58" s="151" t="n">
        <x:v>1</x:v>
      </x:c>
      <x:c r="E58" s="150" t="str">
        <x:v>inclusive_biological</x:v>
      </x:c>
      <x:c r="F58" s="150" t="str">
        <x:v>established</x:v>
      </x:c>
      <x:c r="G58" s="150" t="str">
        <x:v>Stable covalent macromolecule attachment; biologically distinct modifier identity and installation route define the family.</x:v>
      </x:c>
      <x:c r="H58" s="150" t="str"/>
      <x:c r="I58" s="150" t="str">
        <x:v>KEPT as a chemically/biologically distinct installed end state</x:v>
      </x:c>
      <x:c r="J58" s="150" t="str">
        <x:v>dbPTM live named protein-tag family</x:v>
      </x:c>
      <x:c r="K58" s="150" t="str">
        <x:v>NEDD8 conjugation; NEDDylation</x:v>
      </x:c>
      <x:c r="L58" s="185" t="str">
        <x:v>https://biomics.lab.nycu.edu.tw/dbPTM/statistics.php | https://pmc.ncbi.nlm.nih.gov/articles/PMC5815371/</x:v>
      </x:c>
      <x:c r="M58" s="151" t="str">
        <x:v>high</x:v>
      </x:c>
      <x:c r="N58" s="151" t="n">
        <x:v>1</x:v>
      </x:c>
      <x:c r="O58" s="151" t="n">
        <x:v>1</x:v>
      </x:c>
      <x:c r="P58" s="151" t="n">
        <x:v>1</x:v>
      </x:c>
      <x:c r="Q58" s="151" t="n">
        <x:v>1</x:v>
      </x:c>
      <x:c r="R58" s="150" t="str">
        <x:v>each biologically distinct protein tag identity is counted separately</x:v>
      </x:c>
    </x:row>
    <x:row r="59" ht="31.5" customHeight="1">
      <x:c r="A59" s="157" t="str">
        <x:v>ADJ058</x:v>
      </x:c>
      <x:c r="B59" s="158" t="str">
        <x:v>Peptidoglycan anchoring</x:v>
      </x:c>
      <x:c r="C59" s="158" t="str">
        <x:v>Protein, peptide, and nucleic-acid conjugation</x:v>
      </x:c>
      <x:c r="D59" s="159" t="n">
        <x:v>1</x:v>
      </x:c>
      <x:c r="E59" s="158" t="str">
        <x:v>inclusive_biological</x:v>
      </x:c>
      <x:c r="F59" s="158" t="str">
        <x:v>established</x:v>
      </x:c>
      <x:c r="G59" s="158" t="str">
        <x:v>Stable covalent macromolecule attachment; biologically distinct modifier identity and installation route define the family.</x:v>
      </x:c>
      <x:c r="H59" s="158" t="str">
        <x:v>LPXTG/LPXAG sortase anchoring | Gram-negative Lpp-type anchoring</x:v>
      </x:c>
      <x:c r="I59" s="158" t="str">
        <x:v>ADDED after ontology/database correction pass</x:v>
      </x:c>
      <x:c r="J59" s="158" t="str">
        <x:v>primary-literature-validated natural covalent end state</x:v>
      </x:c>
      <x:c r="K59" s="158" t="str">
        <x:v>Peptidoglycan anchoring</x:v>
      </x:c>
      <x:c r="L59" s="184" t="str">
        <x:v>https://www.uniprot.org/keywords/KW-0572 | https://purl.obolibrary.org/obo/MOD_01159</x:v>
      </x:c>
      <x:c r="M59" s="159" t="str">
        <x:v>high</x:v>
      </x:c>
      <x:c r="N59" s="159" t="n">
        <x:v>1</x:v>
      </x:c>
      <x:c r="O59" s="159" t="n">
        <x:v>1</x:v>
      </x:c>
      <x:c r="P59" s="159" t="n">
        <x:v>1</x:v>
      </x:c>
      <x:c r="Q59" s="159" t="n">
        <x:v>1</x:v>
      </x:c>
      <x:c r="R59" s="158" t="str">
        <x:v>Stable covalent protein-to-cell-wall attachment by sortase/transpeptidation or lysine-peptidoglycan isopeptide linkage.</x:v>
      </x:c>
    </x:row>
    <x:row r="60" ht="31.5" customHeight="1">
      <x:c r="A60" s="149" t="str">
        <x:v>ADJ059</x:v>
      </x:c>
      <x:c r="B60" s="150" t="str">
        <x:v>Phosphoribosyl-linked ubiquitination</x:v>
      </x:c>
      <x:c r="C60" s="150" t="str">
        <x:v>Protein, peptide, and nucleic-acid conjugation</x:v>
      </x:c>
      <x:c r="D60" s="151" t="n">
        <x:v>1</x:v>
      </x:c>
      <x:c r="E60" s="150" t="str">
        <x:v>inclusive_biological</x:v>
      </x:c>
      <x:c r="F60" s="150" t="str">
        <x:v>established</x:v>
      </x:c>
      <x:c r="G60" s="150" t="str">
        <x:v>Stable covalent macromolecule attachment; biologically distinct modifier identity and installation route define the family.</x:v>
      </x:c>
      <x:c r="H60" s="150" t="str">
        <x:v>PR-ubiquitination | serine ubiquitination</x:v>
      </x:c>
      <x:c r="I60" s="150" t="str">
        <x:v>ADDED after ontology/database correction pass</x:v>
      </x:c>
      <x:c r="J60" s="150" t="str">
        <x:v>primary-literature-validated natural covalent end state</x:v>
      </x:c>
      <x:c r="K60" s="150" t="str">
        <x:v>Phosphoribosyl-linked ubiquitination</x:v>
      </x:c>
      <x:c r="L60" s="185" t="str">
        <x:v>https://doi.org/10.1016/j.molcel.2019.10.019 | https://pubmed.ncbi.nlm.nih.gov/29795347/</x:v>
      </x:c>
      <x:c r="M60" s="151" t="str">
        <x:v>high</x:v>
      </x:c>
      <x:c r="N60" s="151" t="n">
        <x:v>1</x:v>
      </x:c>
      <x:c r="O60" s="151" t="n">
        <x:v>1</x:v>
      </x:c>
      <x:c r="P60" s="151" t="n">
        <x:v>1</x:v>
      </x:c>
      <x:c r="Q60" s="151" t="n">
        <x:v>1</x:v>
      </x:c>
      <x:c r="R60" s="150" t="str">
        <x:v>Legionella SidE enzymes install ubiquitin through a phosphoribosyl linker on Ser/Tyr; chemically distinct from canonical isopeptide ubiquitination.</x:v>
      </x:c>
    </x:row>
    <x:row r="61" ht="31.5" customHeight="1">
      <x:c r="A61" s="157" t="str">
        <x:v>ADJ060</x:v>
      </x:c>
      <x:c r="B61" s="158" t="str">
        <x:v>Protein ATG8ylation</x:v>
      </x:c>
      <x:c r="C61" s="158" t="str">
        <x:v>Protein, peptide, and nucleic-acid conjugation</x:v>
      </x:c>
      <x:c r="D61" s="159" t="n">
        <x:v>1</x:v>
      </x:c>
      <x:c r="E61" s="158" t="str">
        <x:v>inclusive_biological</x:v>
      </x:c>
      <x:c r="F61" s="158" t="str">
        <x:v>emerging_validated</x:v>
      </x:c>
      <x:c r="G61" s="158" t="str">
        <x:v>Stable covalent macromolecule attachment; biologically distinct modifier identity and installation route define the family.</x:v>
      </x:c>
      <x:c r="H61" s="158" t="str"/>
      <x:c r="I61" s="158" t="str">
        <x:v>KEPT as a chemically/biologically distinct installed end state</x:v>
      </x:c>
      <x:c r="J61" s="158" t="str">
        <x:v>current multi-study protein-tag family</x:v>
      </x:c>
      <x:c r="K61" s="158" t="str">
        <x:v>LC3ylation; MAP1LC3Bylation; protein ATG8ylation</x:v>
      </x:c>
      <x:c r="L61" s="184" t="str">
        <x:v>https://pubmed.ncbi.nlm.nih.gov/41187061/ | https://pmc.ncbi.nlm.nih.gov/articles/PMC11864658 | https://doi.org/10.1080/15548627.2026.2642981</x:v>
      </x:c>
      <x:c r="M61" s="159" t="str">
        <x:v>moderate</x:v>
      </x:c>
      <x:c r="N61" s="159" t="n">
        <x:v>1</x:v>
      </x:c>
      <x:c r="O61" s="159" t="n">
        <x:v>0</x:v>
      </x:c>
      <x:c r="P61" s="159" t="n">
        <x:v>1</x:v>
      </x:c>
      <x:c r="Q61" s="159" t="n">
        <x:v>1</x:v>
      </x:c>
      <x:c r="R61" s="158" t="str">
        <x:v>include covalent ATG8 attachment to protein lysines; exclude membrane ATG8 lipidation to phosphatidylethanolamine or phosphatidylserine because the modified target is a lipid</x:v>
      </x:c>
    </x:row>
    <x:row r="62" ht="31.5" customHeight="1">
      <x:c r="A62" s="149" t="str">
        <x:v>ADJ061</x:v>
      </x:c>
      <x:c r="B62" s="150" t="str">
        <x:v>Pupylation</x:v>
      </x:c>
      <x:c r="C62" s="150" t="str">
        <x:v>Protein, peptide, and nucleic-acid conjugation</x:v>
      </x:c>
      <x:c r="D62" s="151" t="n">
        <x:v>1</x:v>
      </x:c>
      <x:c r="E62" s="150" t="str">
        <x:v>inclusive_biological</x:v>
      </x:c>
      <x:c r="F62" s="150" t="str">
        <x:v>established</x:v>
      </x:c>
      <x:c r="G62" s="150" t="str">
        <x:v>Stable covalent macromolecule attachment; biologically distinct modifier identity and installation route define the family.</x:v>
      </x:c>
      <x:c r="H62" s="150" t="str"/>
      <x:c r="I62" s="150" t="str">
        <x:v>KEPT as a chemically/biologically distinct installed end state</x:v>
      </x:c>
      <x:c r="J62" s="150" t="str">
        <x:v>dbPTM live named protein-tag family</x:v>
      </x:c>
      <x:c r="K62" s="150" t="str">
        <x:v>Pup conjugation; prokaryotic ubiquitin-like protein attachment</x:v>
      </x:c>
      <x:c r="L62" s="185" t="str">
        <x:v>https://biomics.lab.nycu.edu.tw/dbPTM/statistics.php | https://pmc.ncbi.nlm.nih.gov/articles/PMC4757901/</x:v>
      </x:c>
      <x:c r="M62" s="151" t="str">
        <x:v>high</x:v>
      </x:c>
      <x:c r="N62" s="151" t="n">
        <x:v>1</x:v>
      </x:c>
      <x:c r="O62" s="151" t="n">
        <x:v>1</x:v>
      </x:c>
      <x:c r="P62" s="151" t="n">
        <x:v>1</x:v>
      </x:c>
      <x:c r="Q62" s="151" t="n">
        <x:v>1</x:v>
      </x:c>
      <x:c r="R62" s="150" t="str"/>
    </x:row>
    <x:row r="63" ht="31.5" customHeight="1">
      <x:c r="A63" s="157" t="str">
        <x:v>ADJ062</x:v>
      </x:c>
      <x:c r="B63" s="158" t="str">
        <x:v>RNAylation</x:v>
      </x:c>
      <x:c r="C63" s="158" t="str">
        <x:v>Protein, peptide, and nucleic-acid conjugation</x:v>
      </x:c>
      <x:c r="D63" s="159" t="n">
        <x:v>1</x:v>
      </x:c>
      <x:c r="E63" s="158" t="str">
        <x:v>inclusive_biological</x:v>
      </x:c>
      <x:c r="F63" s="158" t="str">
        <x:v>emerging_validated</x:v>
      </x:c>
      <x:c r="G63" s="158" t="str">
        <x:v>Stable covalent macromolecule attachment; biologically distinct modifier identity and installation route define the family.</x:v>
      </x:c>
      <x:c r="H63" s="158" t="str"/>
      <x:c r="I63" s="158" t="str">
        <x:v>ADDED after ontology/database correction pass</x:v>
      </x:c>
      <x:c r="J63" s="158" t="str">
        <x:v>primary-literature-validated natural covalent end state</x:v>
      </x:c>
      <x:c r="K63" s="158" t="str">
        <x:v>RNAylation</x:v>
      </x:c>
      <x:c r="L63" s="184" t="str">
        <x:v>https://doi.org/10.1038/s41586-023-06429-2</x:v>
      </x:c>
      <x:c r="M63" s="159" t="str">
        <x:v>high</x:v>
      </x:c>
      <x:c r="N63" s="159" t="n">
        <x:v>1</x:v>
      </x:c>
      <x:c r="O63" s="159" t="n">
        <x:v>0</x:v>
      </x:c>
      <x:c r="P63" s="159" t="n">
        <x:v>1</x:v>
      </x:c>
      <x:c r="Q63" s="159" t="n">
        <x:v>1</x:v>
      </x:c>
      <x:c r="R63" s="158" t="str">
        <x:v>T4 ADP-ribosyltransferase covalently transfers intact NAD-capped RNA to protein Arg in vivo.</x:v>
      </x:c>
    </x:row>
    <x:row r="64" ht="31.5" customHeight="1">
      <x:c r="A64" s="149" t="str">
        <x:v>ADJ063</x:v>
      </x:c>
      <x:c r="B64" s="150" t="str">
        <x:v>SAMPylation</x:v>
      </x:c>
      <x:c r="C64" s="150" t="str">
        <x:v>Protein, peptide, and nucleic-acid conjugation</x:v>
      </x:c>
      <x:c r="D64" s="151" t="n">
        <x:v>1</x:v>
      </x:c>
      <x:c r="E64" s="150" t="str">
        <x:v>inclusive_biological</x:v>
      </x:c>
      <x:c r="F64" s="150" t="str">
        <x:v>established</x:v>
      </x:c>
      <x:c r="G64" s="150" t="str">
        <x:v>Stable covalent macromolecule attachment; biologically distinct modifier identity and installation route define the family.</x:v>
      </x:c>
      <x:c r="H64" s="150" t="str"/>
      <x:c r="I64" s="150" t="str">
        <x:v>KEPT as a chemically/biologically distinct installed end state</x:v>
      </x:c>
      <x:c r="J64" s="150" t="str">
        <x:v>established archaeal ubiquitin-like family</x:v>
      </x:c>
      <x:c r="K64" s="150" t="str">
        <x:v>SAMP1ylation; SAMP2ylation; SAMP3ylation; small archaeal modifier protein conjugation</x:v>
      </x:c>
      <x:c r="L64" s="185" t="str">
        <x:v>https://www.uniprot.org/uniprotkb/D4GUF6/entry | https://pmc.ncbi.nlm.nih.gov/articles/PMC5322722/</x:v>
      </x:c>
      <x:c r="M64" s="151" t="str">
        <x:v>high</x:v>
      </x:c>
      <x:c r="N64" s="151" t="n">
        <x:v>1</x:v>
      </x:c>
      <x:c r="O64" s="151" t="n">
        <x:v>1</x:v>
      </x:c>
      <x:c r="P64" s="151" t="n">
        <x:v>1</x:v>
      </x:c>
      <x:c r="Q64" s="151" t="n">
        <x:v>1</x:v>
      </x:c>
      <x:c r="R64" s="150" t="str">
        <x:v>SAMP paralogs are subtypes of one archaeal conjugation family</x:v>
      </x:c>
    </x:row>
    <x:row r="65" ht="31.5" customHeight="1">
      <x:c r="A65" s="157" t="str">
        <x:v>ADJ064</x:v>
      </x:c>
      <x:c r="B65" s="158" t="str">
        <x:v>SUMOylation</x:v>
      </x:c>
      <x:c r="C65" s="158" t="str">
        <x:v>Protein, peptide, and nucleic-acid conjugation</x:v>
      </x:c>
      <x:c r="D65" s="159" t="n">
        <x:v>1</x:v>
      </x:c>
      <x:c r="E65" s="158" t="str">
        <x:v>inclusive_biological</x:v>
      </x:c>
      <x:c r="F65" s="158" t="str">
        <x:v>established</x:v>
      </x:c>
      <x:c r="G65" s="158" t="str">
        <x:v>Stable covalent macromolecule attachment; biologically distinct modifier identity and installation route define the family.</x:v>
      </x:c>
      <x:c r="H65" s="158" t="str"/>
      <x:c r="I65" s="158" t="str">
        <x:v>KEPT as a chemically/biologically distinct installed end state</x:v>
      </x:c>
      <x:c r="J65" s="158" t="str">
        <x:v>dbPTM live named protein-tag family</x:v>
      </x:c>
      <x:c r="K65" s="158" t="str">
        <x:v>SUMO conjugation; sumoylation</x:v>
      </x:c>
      <x:c r="L65" s="184" t="str">
        <x:v>https://biomics.lab.nycu.edu.tw/dbPTM/statistics.php | https://pmc.ncbi.nlm.nih.gov/articles/PMC5815371/</x:v>
      </x:c>
      <x:c r="M65" s="159" t="str">
        <x:v>high</x:v>
      </x:c>
      <x:c r="N65" s="159" t="n">
        <x:v>1</x:v>
      </x:c>
      <x:c r="O65" s="159" t="n">
        <x:v>1</x:v>
      </x:c>
      <x:c r="P65" s="159" t="n">
        <x:v>1</x:v>
      </x:c>
      <x:c r="Q65" s="159" t="n">
        <x:v>1</x:v>
      </x:c>
      <x:c r="R65" s="158" t="str">
        <x:v>SUMO paralogs and chain states are subtypes</x:v>
      </x:c>
    </x:row>
    <x:row r="66" ht="31.5" customHeight="1">
      <x:c r="A66" s="149" t="str">
        <x:v>ADJ065</x:v>
      </x:c>
      <x:c r="B66" s="150" t="str">
        <x:v>Ubiquitination</x:v>
      </x:c>
      <x:c r="C66" s="150" t="str">
        <x:v>Protein, peptide, and nucleic-acid conjugation</x:v>
      </x:c>
      <x:c r="D66" s="151" t="n">
        <x:v>1</x:v>
      </x:c>
      <x:c r="E66" s="150" t="str">
        <x:v>inclusive_biological</x:v>
      </x:c>
      <x:c r="F66" s="150" t="str">
        <x:v>established</x:v>
      </x:c>
      <x:c r="G66" s="150" t="str">
        <x:v>Stable covalent macromolecule attachment; biologically distinct modifier identity and installation route define the family.</x:v>
      </x:c>
      <x:c r="H66" s="150" t="str"/>
      <x:c r="I66" s="150" t="str">
        <x:v>KEPT as a chemically/biologically distinct installed end state</x:v>
      </x:c>
      <x:c r="J66" s="150" t="str">
        <x:v>dbPTM live named protein-tag family</x:v>
      </x:c>
      <x:c r="K66" s="150" t="str">
        <x:v>ubiquitylation; ubiquitin conjugation; mono-ubiquitination; polyubiquitination</x:v>
      </x:c>
      <x:c r="L66" s="185" t="str">
        <x:v>https://biomics.lab.nycu.edu.tw/dbPTM/statistics.php | https://pmc.ncbi.nlm.nih.gov/articles/PMC5815371/</x:v>
      </x:c>
      <x:c r="M66" s="151" t="str">
        <x:v>high</x:v>
      </x:c>
      <x:c r="N66" s="151" t="n">
        <x:v>1</x:v>
      </x:c>
      <x:c r="O66" s="151" t="n">
        <x:v>1</x:v>
      </x:c>
      <x:c r="P66" s="151" t="n">
        <x:v>1</x:v>
      </x:c>
      <x:c r="Q66" s="151" t="n">
        <x:v>1</x:v>
      </x:c>
      <x:c r="R66" s="150" t="str">
        <x:v>ubiquitin linkage and chain topology are subtypes</x:v>
      </x:c>
    </x:row>
    <x:row r="67" ht="31.5" customHeight="1">
      <x:c r="A67" s="157" t="str">
        <x:v>ADJ066</x:v>
      </x:c>
      <x:c r="B67" s="158" t="str">
        <x:v>UFMylation</x:v>
      </x:c>
      <x:c r="C67" s="158" t="str">
        <x:v>Protein, peptide, and nucleic-acid conjugation</x:v>
      </x:c>
      <x:c r="D67" s="159" t="n">
        <x:v>1</x:v>
      </x:c>
      <x:c r="E67" s="158" t="str">
        <x:v>inclusive_biological</x:v>
      </x:c>
      <x:c r="F67" s="158" t="str">
        <x:v>established</x:v>
      </x:c>
      <x:c r="G67" s="158" t="str">
        <x:v>Stable covalent macromolecule attachment; biologically distinct modifier identity and installation route define the family.</x:v>
      </x:c>
      <x:c r="H67" s="158" t="str"/>
      <x:c r="I67" s="158" t="str">
        <x:v>KEPT as a chemically/biologically distinct installed end state</x:v>
      </x:c>
      <x:c r="J67" s="158" t="str">
        <x:v>review-backed protein-tag family</x:v>
      </x:c>
      <x:c r="K67" s="158" t="str">
        <x:v>UFM1 conjugation; UFMylation</x:v>
      </x:c>
      <x:c r="L67" s="184" t="str">
        <x:v>https://pmc.ncbi.nlm.nih.gov/articles/PMC8834048/ | https://www.nature.com/articles/s41580-025-00944-y</x:v>
      </x:c>
      <x:c r="M67" s="159" t="str">
        <x:v>high</x:v>
      </x:c>
      <x:c r="N67" s="159" t="n">
        <x:v>1</x:v>
      </x:c>
      <x:c r="O67" s="159" t="n">
        <x:v>1</x:v>
      </x:c>
      <x:c r="P67" s="159" t="n">
        <x:v>1</x:v>
      </x:c>
      <x:c r="Q67" s="159" t="n">
        <x:v>1</x:v>
      </x:c>
      <x:c r="R67" s="158" t="str"/>
    </x:row>
    <x:row r="68" ht="31.5" customHeight="1">
      <x:c r="A68" s="149" t="str">
        <x:v>ADJ067</x:v>
      </x:c>
      <x:c r="B68" s="150" t="str">
        <x:v>Urmylation</x:v>
      </x:c>
      <x:c r="C68" s="150" t="str">
        <x:v>Protein, peptide, and nucleic-acid conjugation</x:v>
      </x:c>
      <x:c r="D68" s="151" t="n">
        <x:v>1</x:v>
      </x:c>
      <x:c r="E68" s="150" t="str">
        <x:v>inclusive_biological</x:v>
      </x:c>
      <x:c r="F68" s="150" t="str">
        <x:v>established</x:v>
      </x:c>
      <x:c r="G68" s="150" t="str">
        <x:v>Stable covalent macromolecule attachment; biologically distinct modifier identity and installation route define the family.</x:v>
      </x:c>
      <x:c r="H68" s="150" t="str"/>
      <x:c r="I68" s="150" t="str">
        <x:v>KEPT as a chemically/biologically distinct installed end state</x:v>
      </x:c>
      <x:c r="J68" s="150" t="str">
        <x:v>review-backed protein-tag family</x:v>
      </x:c>
      <x:c r="K68" s="150" t="str">
        <x:v>Urm1 conjugation; Urmylation</x:v>
      </x:c>
      <x:c r="L68" s="185" t="str">
        <x:v>https://pmc.ncbi.nlm.nih.gov/articles/PMC8834048/ | https://pmc.ncbi.nlm.nih.gov/articles/PMC5815371/</x:v>
      </x:c>
      <x:c r="M68" s="151" t="str">
        <x:v>high</x:v>
      </x:c>
      <x:c r="N68" s="151" t="n">
        <x:v>1</x:v>
      </x:c>
      <x:c r="O68" s="151" t="n">
        <x:v>1</x:v>
      </x:c>
      <x:c r="P68" s="151" t="n">
        <x:v>1</x:v>
      </x:c>
      <x:c r="Q68" s="151" t="n">
        <x:v>1</x:v>
      </x:c>
      <x:c r="R68" s="150" t="str"/>
    </x:row>
    <x:row r="69" ht="31.5" customHeight="1">
      <x:c r="A69" s="157" t="str">
        <x:v>ADJ068</x:v>
      </x:c>
      <x:c r="B69" s="158" t="str">
        <x:v>Carbonylation</x:v>
      </x:c>
      <x:c r="C69" s="158" t="str">
        <x:v>Redox and reactive chemistry</x:v>
      </x:c>
      <x:c r="D69" s="159" t="n">
        <x:v>1</x:v>
      </x:c>
      <x:c r="E69" s="158" t="str">
        <x:v>inclusive_biological</x:v>
      </x:c>
      <x:c r="F69" s="158" t="str">
        <x:v>established</x:v>
      </x:c>
      <x:c r="G69" s="158" t="str">
        <x:v>Stable covalent redox, electrophile, or oxidative end state observed in biological material.</x:v>
      </x:c>
      <x:c r="H69" s="158" t="str"/>
      <x:c r="I69" s="158" t="str">
        <x:v>KEPT as a chemically/biologically distinct installed end state</x:v>
      </x:c>
      <x:c r="J69" s="158" t="str">
        <x:v>review-backed stable damage family</x:v>
      </x:c>
      <x:c r="K69" s="158" t="str">
        <x:v>protein carbonylation; aldehyde and ketone protein products</x:v>
      </x:c>
      <x:c r="L69" s="184" t="str">
        <x:v>https://purl.obolibrary.org/obo/mod.obo | https://pmc.ncbi.nlm.nih.gov/articles/PMC6029875/</x:v>
      </x:c>
      <x:c r="M69" s="159" t="str">
        <x:v>high</x:v>
      </x:c>
      <x:c r="N69" s="159" t="n">
        <x:v>1</x:v>
      </x:c>
      <x:c r="O69" s="159" t="n">
        <x:v>1</x:v>
      </x:c>
      <x:c r="P69" s="159" t="n">
        <x:v>1</x:v>
      </x:c>
      <x:c r="Q69" s="159" t="n">
        <x:v>1</x:v>
      </x:c>
      <x:c r="R69" s="158" t="str"/>
    </x:row>
    <x:row r="70" ht="31.5" customHeight="1">
      <x:c r="A70" s="149" t="str">
        <x:v>ADJ069</x:v>
      </x:c>
      <x:c r="B70" s="150" t="str">
        <x:v>Homocysteinylation</x:v>
      </x:c>
      <x:c r="C70" s="150" t="str">
        <x:v>Redox and reactive chemistry</x:v>
      </x:c>
      <x:c r="D70" s="151" t="n">
        <x:v>1</x:v>
      </x:c>
      <x:c r="E70" s="150" t="str">
        <x:v>inclusive_biological</x:v>
      </x:c>
      <x:c r="F70" s="150" t="str">
        <x:v>established</x:v>
      </x:c>
      <x:c r="G70" s="150" t="str">
        <x:v>Stable covalent redox, electrophile, or oxidative end state observed in biological material.</x:v>
      </x:c>
      <x:c r="H70" s="150" t="str"/>
      <x:c r="I70" s="150" t="str">
        <x:v>KEPT as a chemically/biologically distinct installed end state</x:v>
      </x:c>
      <x:c r="J70" s="150" t="str">
        <x:v>review-backed stable damage family</x:v>
      </x:c>
      <x:c r="K70" s="150" t="str">
        <x:v>N-homocysteinylation; S-homocysteinylation; homocysteine thiolactone adduct</x:v>
      </x:c>
      <x:c r="L70" s="185" t="str">
        <x:v>https://pmc.ncbi.nlm.nih.gov/articles/PMC9881069/</x:v>
      </x:c>
      <x:c r="M70" s="151" t="str">
        <x:v>high</x:v>
      </x:c>
      <x:c r="N70" s="151" t="n">
        <x:v>1</x:v>
      </x:c>
      <x:c r="O70" s="151" t="n">
        <x:v>1</x:v>
      </x:c>
      <x:c r="P70" s="151" t="n">
        <x:v>1</x:v>
      </x:c>
      <x:c r="Q70" s="151" t="n">
        <x:v>1</x:v>
      </x:c>
      <x:c r="R70" s="150" t="str"/>
    </x:row>
    <x:row r="71" ht="31.5" customHeight="1">
      <x:c r="A71" s="157" t="str">
        <x:v>ADJ070</x:v>
      </x:c>
      <x:c r="B71" s="158" t="str">
        <x:v>Lipoxidation and electrophile adduction</x:v>
      </x:c>
      <x:c r="C71" s="158" t="str">
        <x:v>Redox and reactive chemistry</x:v>
      </x:c>
      <x:c r="D71" s="159" t="n">
        <x:v>1</x:v>
      </x:c>
      <x:c r="E71" s="158" t="str">
        <x:v>inclusive_biological</x:v>
      </x:c>
      <x:c r="F71" s="158" t="str">
        <x:v>established</x:v>
      </x:c>
      <x:c r="G71" s="158" t="str">
        <x:v>Stable covalent redox, electrophile, or oxidative end state observed in biological material.</x:v>
      </x:c>
      <x:c r="H71" s="158" t="str"/>
      <x:c r="I71" s="158" t="str">
        <x:v>KEPT as a chemically/biologically distinct installed end state</x:v>
      </x:c>
      <x:c r="J71" s="158" t="str">
        <x:v>observed cross-vocabulary family</x:v>
      </x:c>
      <x:c r="K71" s="158" t="str">
        <x:v>4-hydroxynonenal adduct; HNE adduct; malondialdehyde adduct; lipid-peroxidation electrophile adduct</x:v>
      </x:c>
      <x:c r="L71" s="184" t="str">
        <x:v>https://proteomescout.wustl.edu/ | https://purl.obolibrary.org/obo/mod.obo</x:v>
      </x:c>
      <x:c r="M71" s="159" t="str">
        <x:v>high</x:v>
      </x:c>
      <x:c r="N71" s="159" t="n">
        <x:v>1</x:v>
      </x:c>
      <x:c r="O71" s="159" t="n">
        <x:v>1</x:v>
      </x:c>
      <x:c r="P71" s="159" t="n">
        <x:v>1</x:v>
      </x:c>
      <x:c r="Q71" s="159" t="n">
        <x:v>1</x:v>
      </x:c>
      <x:c r="R71" s="158" t="str">
        <x:v>electrophile identities are payload subtypes</x:v>
      </x:c>
    </x:row>
    <x:row r="72" ht="31.5" customHeight="1">
      <x:c r="A72" s="149" t="str">
        <x:v>ADJ071</x:v>
      </x:c>
      <x:c r="B72" s="150" t="str">
        <x:v>Nitration</x:v>
      </x:c>
      <x:c r="C72" s="150" t="str">
        <x:v>Redox and reactive chemistry</x:v>
      </x:c>
      <x:c r="D72" s="151" t="n">
        <x:v>1</x:v>
      </x:c>
      <x:c r="E72" s="150" t="str">
        <x:v>inclusive_biological</x:v>
      </x:c>
      <x:c r="F72" s="150" t="str">
        <x:v>established</x:v>
      </x:c>
      <x:c r="G72" s="150" t="str">
        <x:v>Stable covalent redox, electrophile, or oxidative end state observed in biological material.</x:v>
      </x:c>
      <x:c r="H72" s="150" t="str"/>
      <x:c r="I72" s="150" t="str">
        <x:v>KEPT as a chemically/biologically distinct installed end state</x:v>
      </x:c>
      <x:c r="J72" s="150" t="str">
        <x:v>dbPTM live named end state</x:v>
      </x:c>
      <x:c r="K72" s="150" t="str">
        <x:v>3-nitrotyrosine; protein nitration</x:v>
      </x:c>
      <x:c r="L72" s="185" t="str">
        <x:v>https://biomics.lab.nycu.edu.tw/dbPTM/statistics.php</x:v>
      </x:c>
      <x:c r="M72" s="151" t="str">
        <x:v>high</x:v>
      </x:c>
      <x:c r="N72" s="151" t="n">
        <x:v>1</x:v>
      </x:c>
      <x:c r="O72" s="151" t="n">
        <x:v>1</x:v>
      </x:c>
      <x:c r="P72" s="151" t="n">
        <x:v>1</x:v>
      </x:c>
      <x:c r="Q72" s="151" t="n">
        <x:v>1</x:v>
      </x:c>
      <x:c r="R72" s="150" t="str"/>
    </x:row>
    <x:row r="73" ht="31.5" customHeight="1">
      <x:c r="A73" s="157" t="str">
        <x:v>ADJ072</x:v>
      </x:c>
      <x:c r="B73" s="158" t="str">
        <x:v>Protein halogenation</x:v>
      </x:c>
      <x:c r="C73" s="158" t="str">
        <x:v>Redox and reactive chemistry</x:v>
      </x:c>
      <x:c r="D73" s="159" t="n">
        <x:v>1</x:v>
      </x:c>
      <x:c r="E73" s="158" t="str">
        <x:v>inclusive_biological</x:v>
      </x:c>
      <x:c r="F73" s="158" t="str">
        <x:v>established</x:v>
      </x:c>
      <x:c r="G73" s="158" t="str">
        <x:v>Stable covalent redox, electrophile, or oxidative end state observed in biological material.</x:v>
      </x:c>
      <x:c r="H73" s="158" t="str">
        <x:v>iodination | bromination | chlorination | halogen and biological context</x:v>
      </x:c>
      <x:c r="I73" s="158" t="str">
        <x:v>MERGED halogen identity as a child field; excludes unsupported endogenous fluorination</x:v>
      </x:c>
      <x:c r="J73" s="158" t="str">
        <x:v>dbPTM live named end state</x:v>
      </x:c>
      <x:c r="K73" s="158" t="str">
        <x:v>tyrosine iodination; iodotyrosine</x:v>
      </x:c>
      <x:c r="L73" s="184" t="str">
        <x:v>https://ftp.uniprot.org/pub/databases/uniprot/current_release/knowledgebase/complete/docs/ptmlist.txt | https://purl.obolibrary.org/obo/mod.obo | https://doi.org/10.1016/j.freeradbiomed.2017.09.034</x:v>
      </x:c>
      <x:c r="M73" s="159" t="str">
        <x:v>high</x:v>
      </x:c>
      <x:c r="N73" s="159" t="n">
        <x:v>1</x:v>
      </x:c>
      <x:c r="O73" s="159" t="n">
        <x:v>1</x:v>
      </x:c>
      <x:c r="P73" s="159" t="n">
        <x:v>1</x:v>
      </x:c>
      <x:c r="Q73" s="159" t="n">
        <x:v>1</x:v>
      </x:c>
      <x:c r="R73" s="158" t="str"/>
    </x:row>
    <x:row r="74" ht="31.5" customHeight="1">
      <x:c r="A74" s="149" t="str">
        <x:v>ADJ073</x:v>
      </x:c>
      <x:c r="B74" s="150" t="str">
        <x:v>Protein S-thiolation (mixed disulfides)</x:v>
      </x:c>
      <x:c r="C74" s="150" t="str">
        <x:v>Redox and reactive chemistry</x:v>
      </x:c>
      <x:c r="D74" s="151" t="n">
        <x:v>1</x:v>
      </x:c>
      <x:c r="E74" s="150" t="str">
        <x:v>inclusive_biological</x:v>
      </x:c>
      <x:c r="F74" s="150" t="str">
        <x:v>established</x:v>
      </x:c>
      <x:c r="G74" s="150" t="str">
        <x:v>Stable covalent redox, electrophile, or oxidative end state observed in biological material.</x:v>
      </x:c>
      <x:c r="H74" s="150" t="str">
        <x:v>glutathionylation | cysteinylation | CoAlation | bacillithiolation | mycothiolation</x:v>
      </x:c>
      <x:c r="I74" s="150" t="str">
        <x:v>MERGED low-molecular-weight thiol donor identity as a child field</x:v>
      </x:c>
      <x:c r="J74" s="150" t="str">
        <x:v>dbPTM live named end state</x:v>
      </x:c>
      <x:c r="K74" s="150" t="str">
        <x:v>S-glutathionylation; glutathione mixed disulfide</x:v>
      </x:c>
      <x:c r="L74" s="185" t="str">
        <x:v>https://biomics.lab.nycu.edu.tw/dbSNO/introduction.php | https://doi.org/10.1042/BCJ20170129 | https://doi.org/10.1016/j.redox.2018.08.017</x:v>
      </x:c>
      <x:c r="M74" s="151" t="str">
        <x:v>high</x:v>
      </x:c>
      <x:c r="N74" s="151" t="n">
        <x:v>1</x:v>
      </x:c>
      <x:c r="O74" s="151" t="n">
        <x:v>1</x:v>
      </x:c>
      <x:c r="P74" s="151" t="n">
        <x:v>1</x:v>
      </x:c>
      <x:c r="Q74" s="151" t="n">
        <x:v>1</x:v>
      </x:c>
      <x:c r="R74" s="150" t="str"/>
    </x:row>
    <x:row r="75" ht="31.5" customHeight="1">
      <x:c r="A75" s="157" t="str">
        <x:v>ADJ074</x:v>
      </x:c>
      <x:c r="B75" s="158" t="str">
        <x:v>Residue oxidation-state conversion</x:v>
      </x:c>
      <x:c r="C75" s="158" t="str">
        <x:v>Redox and reactive chemistry</x:v>
      </x:c>
      <x:c r="D75" s="159" t="n">
        <x:v>1</x:v>
      </x:c>
      <x:c r="E75" s="158" t="str">
        <x:v>inclusive_biological</x:v>
      </x:c>
      <x:c r="F75" s="158" t="str">
        <x:v>established</x:v>
      </x:c>
      <x:c r="G75" s="158" t="str">
        <x:v>Stable covalent redox, electrophile, or oxidative end state observed in biological material.</x:v>
      </x:c>
      <x:c r="H75" s="158" t="str">
        <x:v>Met sulfoxide/sulfone | Cys sulfenic/sulfinic/sulfonic states | other named residue oxides</x:v>
      </x:c>
      <x:c r="I75" s="158" t="str">
        <x:v>REPLACED generic 'Other oxidation' plus sulfoxidation with one disjoint oxidation-state family</x:v>
      </x:c>
      <x:c r="J75" s="158" t="str">
        <x:v>dbPTM live named end state with disjoint scope</x:v>
      </x:c>
      <x:c r="K75" s="158" t="str">
        <x:v>methionine sulfoxide; methionine sulfone; sulfur oxidation</x:v>
      </x:c>
      <x:c r="L75" s="184" t="str">
        <x:v>https://biomics.lab.nycu.edu.tw/dbPTM/statistics.php | https://purl.obolibrary.org/obo/mod.obo</x:v>
      </x:c>
      <x:c r="M75" s="159" t="str">
        <x:v>high</x:v>
      </x:c>
      <x:c r="N75" s="159" t="n">
        <x:v>1</x:v>
      </x:c>
      <x:c r="O75" s="159" t="n">
        <x:v>1</x:v>
      </x:c>
      <x:c r="P75" s="159" t="n">
        <x:v>1</x:v>
      </x:c>
      <x:c r="Q75" s="159" t="n">
        <x:v>1</x:v>
      </x:c>
      <x:c r="R75" s="158" t="str">
        <x:v>sulfur-centered oxidation retained separately from Other oxidation</x:v>
      </x:c>
    </x:row>
    <x:row r="76" ht="31.5" customHeight="1">
      <x:c r="A76" s="149" t="str">
        <x:v>ADJ075</x:v>
      </x:c>
      <x:c r="B76" s="150" t="str">
        <x:v>S-guanylation</x:v>
      </x:c>
      <x:c r="C76" s="150" t="str">
        <x:v>Redox and reactive chemistry</x:v>
      </x:c>
      <x:c r="D76" s="151" t="n">
        <x:v>1</x:v>
      </x:c>
      <x:c r="E76" s="150" t="str">
        <x:v>inclusive_biological</x:v>
      </x:c>
      <x:c r="F76" s="150" t="str">
        <x:v>established</x:v>
      </x:c>
      <x:c r="G76" s="150" t="str">
        <x:v>Stable covalent redox, electrophile, or oxidative end state observed in biological material.</x:v>
      </x:c>
      <x:c r="H76" s="150" t="str">
        <x:v>protein Cys-S-cGMP adduct generated from 8-nitro-cGMP</x:v>
      </x:c>
      <x:c r="I76" s="150" t="str">
        <x:v>RENAMED: the database/vocabulary guanosine label resolves to electrophilic S-guanylation</x:v>
      </x:c>
      <x:c r="J76" s="150" t="str">
        <x:v>site-specific natural in-vivo S-guanylation</x:v>
      </x:c>
      <x:c r="K76" s="150" t="str">
        <x:v>protein S-guanylation; S-cGMP-cysteine</x:v>
      </x:c>
      <x:c r="L76" s="185" t="str">
        <x:v>https://pubmed.ncbi.nlm.nih.gov/17906641/ | https://pubmed.ncbi.nlm.nih.gov/26784639/ | https://proteomescout.research.virginia.edu/downloads</x:v>
      </x:c>
      <x:c r="M76" s="151" t="str">
        <x:v>high</x:v>
      </x:c>
      <x:c r="N76" s="151" t="n">
        <x:v>1</x:v>
      </x:c>
      <x:c r="O76" s="151" t="n">
        <x:v>1</x:v>
      </x:c>
      <x:c r="P76" s="151" t="n">
        <x:v>1</x:v>
      </x:c>
      <x:c r="Q76" s="151" t="n">
        <x:v>1</x:v>
      </x:c>
      <x:c r="R76" s="150" t="str"/>
    </x:row>
    <x:row r="77" ht="31.5" customHeight="1">
      <x:c r="A77" s="157" t="str">
        <x:v>ADJ076</x:v>
      </x:c>
      <x:c r="B77" s="158" t="str">
        <x:v>S-itaconation</x:v>
      </x:c>
      <x:c r="C77" s="158" t="str">
        <x:v>Redox and reactive chemistry</x:v>
      </x:c>
      <x:c r="D77" s="159" t="n">
        <x:v>1</x:v>
      </x:c>
      <x:c r="E77" s="158" t="str">
        <x:v>inclusive_biological</x:v>
      </x:c>
      <x:c r="F77" s="158" t="str">
        <x:v>established</x:v>
      </x:c>
      <x:c r="G77" s="158" t="str">
        <x:v>Stable covalent redox, electrophile, or oxidative end state observed in biological material.</x:v>
      </x:c>
      <x:c r="H77" s="158" t="str"/>
      <x:c r="I77" s="158" t="str">
        <x:v>ADDED after ontology/database correction pass</x:v>
      </x:c>
      <x:c r="J77" s="158" t="str">
        <x:v>primary-literature-validated natural covalent end state</x:v>
      </x:c>
      <x:c r="K77" s="158" t="str">
        <x:v>S-itaconation</x:v>
      </x:c>
      <x:c r="L77" s="184" t="str">
        <x:v>https://doi.org/10.1039/D1SC00660F</x:v>
      </x:c>
      <x:c r="M77" s="159" t="str">
        <x:v>high</x:v>
      </x:c>
      <x:c r="N77" s="159" t="n">
        <x:v>1</x:v>
      </x:c>
      <x:c r="O77" s="159" t="n">
        <x:v>1</x:v>
      </x:c>
      <x:c r="P77" s="159" t="n">
        <x:v>1</x:v>
      </x:c>
      <x:c r="Q77" s="159" t="n">
        <x:v>1</x:v>
      </x:c>
      <x:c r="R77" s="158" t="str">
        <x:v>Endogenous immunometabolite-driven cysteine Michael adduct; distinct from lysine itaconylation.</x:v>
      </x:c>
    </x:row>
    <x:row r="78" ht="31.5" customHeight="1">
      <x:c r="A78" s="149" t="str">
        <x:v>ADJ077</x:v>
      </x:c>
      <x:c r="B78" s="150" t="str">
        <x:v>S-nitrosylation</x:v>
      </x:c>
      <x:c r="C78" s="150" t="str">
        <x:v>Redox and reactive chemistry</x:v>
      </x:c>
      <x:c r="D78" s="151" t="n">
        <x:v>1</x:v>
      </x:c>
      <x:c r="E78" s="150" t="str">
        <x:v>inclusive_biological</x:v>
      </x:c>
      <x:c r="F78" s="150" t="str">
        <x:v>established</x:v>
      </x:c>
      <x:c r="G78" s="150" t="str">
        <x:v>Stable covalent redox, electrophile, or oxidative end state observed in biological material.</x:v>
      </x:c>
      <x:c r="H78" s="150" t="str"/>
      <x:c r="I78" s="150" t="str">
        <x:v>KEPT as a chemically/biologically distinct installed end state</x:v>
      </x:c>
      <x:c r="J78" s="150" t="str">
        <x:v>dbPTM live named end state</x:v>
      </x:c>
      <x:c r="K78" s="150" t="str">
        <x:v>S-nitrosation; SNO-cysteine</x:v>
      </x:c>
      <x:c r="L78" s="185" t="str">
        <x:v>https://biomics.lab.nycu.edu.tw/dbPTM/statistics.php</x:v>
      </x:c>
      <x:c r="M78" s="151" t="str">
        <x:v>high</x:v>
      </x:c>
      <x:c r="N78" s="151" t="n">
        <x:v>1</x:v>
      </x:c>
      <x:c r="O78" s="151" t="n">
        <x:v>1</x:v>
      </x:c>
      <x:c r="P78" s="151" t="n">
        <x:v>1</x:v>
      </x:c>
      <x:c r="Q78" s="151" t="n">
        <x:v>1</x:v>
      </x:c>
      <x:c r="R78" s="150" t="str"/>
    </x:row>
    <x:row r="79" ht="31.5" customHeight="1">
      <x:c r="A79" s="157" t="str">
        <x:v>ADJ078</x:v>
      </x:c>
      <x:c r="B79" s="158" t="str">
        <x:v>Succination</x:v>
      </x:c>
      <x:c r="C79" s="158" t="str">
        <x:v>Redox and reactive chemistry</x:v>
      </x:c>
      <x:c r="D79" s="159" t="n">
        <x:v>1</x:v>
      </x:c>
      <x:c r="E79" s="158" t="str">
        <x:v>inclusive_biological</x:v>
      </x:c>
      <x:c r="F79" s="158" t="str">
        <x:v>established</x:v>
      </x:c>
      <x:c r="G79" s="158" t="str">
        <x:v>Stable covalent redox, electrophile, or oxidative end state observed in biological material.</x:v>
      </x:c>
      <x:c r="H79" s="158" t="str"/>
      <x:c r="I79" s="158" t="str">
        <x:v>KEPT as a chemically/biologically distinct installed end state</x:v>
      </x:c>
      <x:c r="J79" s="158" t="str">
        <x:v>observed stable nonenzymatic family</x:v>
      </x:c>
      <x:c r="K79" s="158" t="str">
        <x:v>S-(2-succinyl)cysteine; 2SC; fumarate adduction</x:v>
      </x:c>
      <x:c r="L79" s="184" t="str">
        <x:v>https://proteomescout.wustl.edu/ | https://pmc.ncbi.nlm.nih.gov/articles/PMC4938194/</x:v>
      </x:c>
      <x:c r="M79" s="159" t="str">
        <x:v>high</x:v>
      </x:c>
      <x:c r="N79" s="159" t="n">
        <x:v>1</x:v>
      </x:c>
      <x:c r="O79" s="159" t="n">
        <x:v>1</x:v>
      </x:c>
      <x:c r="P79" s="159" t="n">
        <x:v>1</x:v>
      </x:c>
      <x:c r="Q79" s="159" t="n">
        <x:v>1</x:v>
      </x:c>
      <x:c r="R79" s="158" t="str">
        <x:v>distinct from enzymatic lysine succinylation</x:v>
      </x:c>
    </x:row>
    <x:row r="80" ht="31.5" customHeight="1">
      <x:c r="A80" s="149" t="str">
        <x:v>ADJ079</x:v>
      </x:c>
      <x:c r="B80" s="150" t="str">
        <x:v>Sulfhydration and persulfidation</x:v>
      </x:c>
      <x:c r="C80" s="150" t="str">
        <x:v>Redox and reactive chemistry</x:v>
      </x:c>
      <x:c r="D80" s="151" t="n">
        <x:v>1</x:v>
      </x:c>
      <x:c r="E80" s="150" t="str">
        <x:v>inclusive_biological</x:v>
      </x:c>
      <x:c r="F80" s="150" t="str">
        <x:v>established</x:v>
      </x:c>
      <x:c r="G80" s="150" t="str">
        <x:v>Stable covalent redox, electrophile, or oxidative end state observed in biological material.</x:v>
      </x:c>
      <x:c r="H80" s="150" t="str"/>
      <x:c r="I80" s="150" t="str">
        <x:v>KEPT as a chemically/biologically distinct installed end state</x:v>
      </x:c>
      <x:c r="J80" s="150" t="str">
        <x:v>dbPTM live named end state</x:v>
      </x:c>
      <x:c r="K80" s="150" t="str">
        <x:v>persulfidation; S-sulfhydration; protein-SSH</x:v>
      </x:c>
      <x:c r="L80" s="185" t="str">
        <x:v>https://biomics.lab.nycu.edu.tw/dbPTM/statistics.php</x:v>
      </x:c>
      <x:c r="M80" s="151" t="str">
        <x:v>high</x:v>
      </x:c>
      <x:c r="N80" s="151" t="n">
        <x:v>1</x:v>
      </x:c>
      <x:c r="O80" s="151" t="n">
        <x:v>1</x:v>
      </x:c>
      <x:c r="P80" s="151" t="n">
        <x:v>1</x:v>
      </x:c>
      <x:c r="Q80" s="151" t="n">
        <x:v>1</x:v>
      </x:c>
      <x:c r="R80" s="150" t="str">
        <x:v>preferred chemical term is persulfidation</x:v>
      </x:c>
    </x:row>
    <x:row r="81" ht="31.5" customHeight="1">
      <x:c r="A81" s="157" t="str">
        <x:v>ADJ080</x:v>
      </x:c>
      <x:c r="B81" s="158" t="str">
        <x:v>Citrullination</x:v>
      </x:c>
      <x:c r="C81" s="158" t="str">
        <x:v>Residue and terminal remodeling</x:v>
      </x:c>
      <x:c r="D81" s="159" t="n">
        <x:v>1</x:v>
      </x:c>
      <x:c r="E81" s="158" t="str">
        <x:v>inclusive_biological</x:v>
      </x:c>
      <x:c r="F81" s="158" t="str">
        <x:v>established</x:v>
      </x:c>
      <x:c r="G81" s="158" t="str">
        <x:v>Stable post-translational conversion of a residue or terminus without retaining a large external macromolecular payload.</x:v>
      </x:c>
      <x:c r="H81" s="158" t="str"/>
      <x:c r="I81" s="158" t="str">
        <x:v>KEPT as a chemically/biologically distinct installed end state</x:v>
      </x:c>
      <x:c r="J81" s="158" t="str">
        <x:v>dbPTM live named end state</x:v>
      </x:c>
      <x:c r="K81" s="158" t="str">
        <x:v>deimination; arginine citrullination</x:v>
      </x:c>
      <x:c r="L81" s="184" t="str">
        <x:v>https://biomics.lab.nycu.edu.tw/dbPTM/statistics.php</x:v>
      </x:c>
      <x:c r="M81" s="159" t="str">
        <x:v>high</x:v>
      </x:c>
      <x:c r="N81" s="159" t="n">
        <x:v>1</x:v>
      </x:c>
      <x:c r="O81" s="159" t="n">
        <x:v>1</x:v>
      </x:c>
      <x:c r="P81" s="159" t="n">
        <x:v>1</x:v>
      </x:c>
      <x:c r="Q81" s="159" t="n">
        <x:v>1</x:v>
      </x:c>
      <x:c r="R81" s="158" t="str"/>
    </x:row>
    <x:row r="82" ht="31.5" customHeight="1">
      <x:c r="A82" s="149" t="str">
        <x:v>ADJ081</x:v>
      </x:c>
      <x:c r="B82" s="150" t="str">
        <x:v>Deamidation</x:v>
      </x:c>
      <x:c r="C82" s="150" t="str">
        <x:v>Residue and terminal remodeling</x:v>
      </x:c>
      <x:c r="D82" s="151" t="n">
        <x:v>1</x:v>
      </x:c>
      <x:c r="E82" s="150" t="str">
        <x:v>inclusive_biological</x:v>
      </x:c>
      <x:c r="F82" s="150" t="str">
        <x:v>established</x:v>
      </x:c>
      <x:c r="G82" s="150" t="str">
        <x:v>Stable post-translational conversion of a residue or terminus without retaining a large external macromolecular payload.</x:v>
      </x:c>
      <x:c r="H82" s="150" t="str"/>
      <x:c r="I82" s="150" t="str">
        <x:v>KEPT as a chemically/biologically distinct installed end state</x:v>
      </x:c>
      <x:c r="J82" s="150" t="str">
        <x:v>dbPTM live named end state</x:v>
      </x:c>
      <x:c r="K82" s="150" t="str">
        <x:v>asparagine deamidation; glutamine deamidation</x:v>
      </x:c>
      <x:c r="L82" s="185" t="str">
        <x:v>https://biomics.lab.nycu.edu.tw/dbPTM/statistics.php</x:v>
      </x:c>
      <x:c r="M82" s="151" t="str">
        <x:v>high</x:v>
      </x:c>
      <x:c r="N82" s="151" t="n">
        <x:v>1</x:v>
      </x:c>
      <x:c r="O82" s="151" t="n">
        <x:v>1</x:v>
      </x:c>
      <x:c r="P82" s="151" t="n">
        <x:v>1</x:v>
      </x:c>
      <x:c r="Q82" s="151" t="n">
        <x:v>1</x:v>
      </x:c>
      <x:c r="R82" s="150" t="str"/>
    </x:row>
    <x:row r="83" ht="31.5" customHeight="1">
      <x:c r="A83" s="157" t="str">
        <x:v>ADJ082</x:v>
      </x:c>
      <x:c r="B83" s="158" t="str">
        <x:v>Deamination</x:v>
      </x:c>
      <x:c r="C83" s="158" t="str">
        <x:v>Residue and terminal remodeling</x:v>
      </x:c>
      <x:c r="D83" s="159" t="n">
        <x:v>1</x:v>
      </x:c>
      <x:c r="E83" s="158" t="str">
        <x:v>inclusive_biological</x:v>
      </x:c>
      <x:c r="F83" s="158" t="str">
        <x:v>established</x:v>
      </x:c>
      <x:c r="G83" s="158" t="str">
        <x:v>Stable post-translational conversion of a residue or terminus without retaining a large external macromolecular payload.</x:v>
      </x:c>
      <x:c r="H83" s="158" t="str"/>
      <x:c r="I83" s="158" t="str">
        <x:v>KEPT as a chemically/biologically distinct installed end state</x:v>
      </x:c>
      <x:c r="J83" s="158" t="str">
        <x:v>dbPTM live named end state</x:v>
      </x:c>
      <x:c r="K83" s="158" t="str">
        <x:v>amino-acid deamination</x:v>
      </x:c>
      <x:c r="L83" s="184" t="str">
        <x:v>https://biomics.lab.nycu.edu.tw/dbPTM/statistics.php</x:v>
      </x:c>
      <x:c r="M83" s="159" t="str">
        <x:v>moderate</x:v>
      </x:c>
      <x:c r="N83" s="159" t="n">
        <x:v>1</x:v>
      </x:c>
      <x:c r="O83" s="159" t="n">
        <x:v>1</x:v>
      </x:c>
      <x:c r="P83" s="159" t="n">
        <x:v>1</x:v>
      </x:c>
      <x:c r="Q83" s="159" t="n">
        <x:v>1</x:v>
      </x:c>
      <x:c r="R83" s="158" t="str"/>
    </x:row>
    <x:row r="84" ht="31.5" customHeight="1">
      <x:c r="A84" s="149" t="str">
        <x:v>ADJ083</x:v>
      </x:c>
      <x:c r="B84" s="150" t="str">
        <x:v>Decarboxylation</x:v>
      </x:c>
      <x:c r="C84" s="150" t="str">
        <x:v>Residue and terminal remodeling</x:v>
      </x:c>
      <x:c r="D84" s="151" t="n">
        <x:v>1</x:v>
      </x:c>
      <x:c r="E84" s="150" t="str">
        <x:v>inclusive_biological</x:v>
      </x:c>
      <x:c r="F84" s="150" t="str">
        <x:v>established</x:v>
      </x:c>
      <x:c r="G84" s="150" t="str">
        <x:v>Stable post-translational conversion of a residue or terminus without retaining a large external macromolecular payload.</x:v>
      </x:c>
      <x:c r="H84" s="150" t="str"/>
      <x:c r="I84" s="150" t="str">
        <x:v>KEPT as a chemically/biologically distinct installed end state</x:v>
      </x:c>
      <x:c r="J84" s="150" t="str">
        <x:v>dbPTM live named end state</x:v>
      </x:c>
      <x:c r="K84" s="150" t="str">
        <x:v>amino-acid decarboxylation; residue decarboxylation</x:v>
      </x:c>
      <x:c r="L84" s="185" t="str">
        <x:v>https://biomics.lab.nycu.edu.tw/dbPTM/statistics.php</x:v>
      </x:c>
      <x:c r="M84" s="151" t="str">
        <x:v>moderate</x:v>
      </x:c>
      <x:c r="N84" s="151" t="n">
        <x:v>1</x:v>
      </x:c>
      <x:c r="O84" s="151" t="n">
        <x:v>1</x:v>
      </x:c>
      <x:c r="P84" s="151" t="n">
        <x:v>1</x:v>
      </x:c>
      <x:c r="Q84" s="151" t="n">
        <x:v>1</x:v>
      </x:c>
      <x:c r="R84" s="150" t="str"/>
    </x:row>
    <x:row r="85" ht="31.5" customHeight="1">
      <x:c r="A85" s="157" t="str">
        <x:v>ADJ084</x:v>
      </x:c>
      <x:c r="B85" s="158" t="str">
        <x:v>Diphthamide formation</x:v>
      </x:c>
      <x:c r="C85" s="158" t="str">
        <x:v>Residue and terminal remodeling</x:v>
      </x:c>
      <x:c r="D85" s="159" t="n">
        <x:v>1</x:v>
      </x:c>
      <x:c r="E85" s="158" t="str">
        <x:v>inclusive_biological</x:v>
      </x:c>
      <x:c r="F85" s="158" t="str">
        <x:v>established</x:v>
      </x:c>
      <x:c r="G85" s="158" t="str">
        <x:v>Stable post-translational conversion of a residue or terminus without retaining a large external macromolecular payload.</x:v>
      </x:c>
      <x:c r="H85" s="158" t="str"/>
      <x:c r="I85" s="158" t="str">
        <x:v>KEPT as a chemically/biologically distinct installed end state</x:v>
      </x:c>
      <x:c r="J85" s="158" t="str">
        <x:v>cross-vocabulary natural family</x:v>
      </x:c>
      <x:c r="K85" s="158" t="str">
        <x:v>diphthamide; diphthine; EF2 diphthamide maturation</x:v>
      </x:c>
      <x:c r="L85" s="184" t="str">
        <x:v>https://ftp.uniprot.org/pub/databases/uniprot/current_release/knowledgebase/complete/docs/ptmlist.txt | https://proteomescout.wustl.edu/</x:v>
      </x:c>
      <x:c r="M85" s="159" t="str">
        <x:v>high</x:v>
      </x:c>
      <x:c r="N85" s="159" t="n">
        <x:v>1</x:v>
      </x:c>
      <x:c r="O85" s="159" t="n">
        <x:v>1</x:v>
      </x:c>
      <x:c r="P85" s="159" t="n">
        <x:v>1</x:v>
      </x:c>
      <x:c r="Q85" s="159" t="n">
        <x:v>1</x:v>
      </x:c>
      <x:c r="R85" s="158" t="str"/>
    </x:row>
    <x:row r="86" ht="31.5" customHeight="1">
      <x:c r="A86" s="149" t="str">
        <x:v>ADJ085</x:v>
      </x:c>
      <x:c r="B86" s="150" t="str">
        <x:v>Formylglycine formation</x:v>
      </x:c>
      <x:c r="C86" s="150" t="str">
        <x:v>Residue and terminal remodeling</x:v>
      </x:c>
      <x:c r="D86" s="151" t="n">
        <x:v>1</x:v>
      </x:c>
      <x:c r="E86" s="150" t="str">
        <x:v>inclusive_biological</x:v>
      </x:c>
      <x:c r="F86" s="150" t="str">
        <x:v>established</x:v>
      </x:c>
      <x:c r="G86" s="150" t="str">
        <x:v>Stable post-translational conversion of a residue or terminus without retaining a large external macromolecular payload.</x:v>
      </x:c>
      <x:c r="H86" s="150" t="str">
        <x:v>C-alpha-formylglycine | 3-oxoalanine</x:v>
      </x:c>
      <x:c r="I86" s="150" t="str">
        <x:v>ADDED after ontology/database correction pass</x:v>
      </x:c>
      <x:c r="J86" s="150" t="str">
        <x:v>primary-literature-validated natural covalent end state</x:v>
      </x:c>
      <x:c r="K86" s="150" t="str">
        <x:v>Formylglycine formation</x:v>
      </x:c>
      <x:c r="L86" s="185" t="str">
        <x:v>https://doi.org/10.1038/s41589-020-00723-y | https://ftp.uniprot.org/pub/databases/uniprot/current_release/knowledgebase/complete/docs/ptmlist.txt</x:v>
      </x:c>
      <x:c r="M86" s="151" t="str">
        <x:v>high</x:v>
      </x:c>
      <x:c r="N86" s="151" t="n">
        <x:v>1</x:v>
      </x:c>
      <x:c r="O86" s="151" t="n">
        <x:v>1</x:v>
      </x:c>
      <x:c r="P86" s="151" t="n">
        <x:v>1</x:v>
      </x:c>
      <x:c r="Q86" s="151" t="n">
        <x:v>1</x:v>
      </x:c>
      <x:c r="R86" s="150" t="str">
        <x:v>Oxidative Cys/Ser conversion to the catalytic aldehyde of sulfatases.</x:v>
      </x:c>
    </x:row>
    <x:row r="87" ht="31.5" customHeight="1">
      <x:c r="A87" s="157" t="str">
        <x:v>ADJ086</x:v>
      </x:c>
      <x:c r="B87" s="158" t="str">
        <x:v>Glutamylation</x:v>
      </x:c>
      <x:c r="C87" s="158" t="str">
        <x:v>Residue and terminal remodeling</x:v>
      </x:c>
      <x:c r="D87" s="159" t="n">
        <x:v>1</x:v>
      </x:c>
      <x:c r="E87" s="158" t="str">
        <x:v>inclusive_biological</x:v>
      </x:c>
      <x:c r="F87" s="158" t="str">
        <x:v>established</x:v>
      </x:c>
      <x:c r="G87" s="158" t="str">
        <x:v>Stable post-translational conversion of a residue or terminus without retaining a large external macromolecular payload.</x:v>
      </x:c>
      <x:c r="H87" s="158" t="str"/>
      <x:c r="I87" s="158" t="str">
        <x:v>KEPT as a chemically/biologically distinct installed end state</x:v>
      </x:c>
      <x:c r="J87" s="158" t="str">
        <x:v>cross-vocabulary natural family</x:v>
      </x:c>
      <x:c r="K87" s="158" t="str">
        <x:v>polyglutamylation; side-chain glutamate extension</x:v>
      </x:c>
      <x:c r="L87" s="184" t="str">
        <x:v>https://ftp.uniprot.org/pub/databases/uniprot/current_release/knowledgebase/complete/docs/ptmlist.txt | https://proteomescout.wustl.edu/</x:v>
      </x:c>
      <x:c r="M87" s="159" t="str">
        <x:v>high</x:v>
      </x:c>
      <x:c r="N87" s="159" t="n">
        <x:v>1</x:v>
      </x:c>
      <x:c r="O87" s="159" t="n">
        <x:v>1</x:v>
      </x:c>
      <x:c r="P87" s="159" t="n">
        <x:v>1</x:v>
      </x:c>
      <x:c r="Q87" s="159" t="n">
        <x:v>1</x:v>
      </x:c>
      <x:c r="R87" s="158" t="str">
        <x:v>mono and polymeric chain length are subtypes</x:v>
      </x:c>
    </x:row>
    <x:row r="88" ht="31.5" customHeight="1">
      <x:c r="A88" s="149" t="str">
        <x:v>ADJ087</x:v>
      </x:c>
      <x:c r="B88" s="150" t="str">
        <x:v>Glycylation</x:v>
      </x:c>
      <x:c r="C88" s="150" t="str">
        <x:v>Residue and terminal remodeling</x:v>
      </x:c>
      <x:c r="D88" s="151" t="n">
        <x:v>1</x:v>
      </x:c>
      <x:c r="E88" s="150" t="str">
        <x:v>inclusive_biological</x:v>
      </x:c>
      <x:c r="F88" s="150" t="str">
        <x:v>established</x:v>
      </x:c>
      <x:c r="G88" s="150" t="str">
        <x:v>Stable post-translational conversion of a residue or terminus without retaining a large external macromolecular payload.</x:v>
      </x:c>
      <x:c r="H88" s="150" t="str"/>
      <x:c r="I88" s="150" t="str">
        <x:v>KEPT as a chemically/biologically distinct installed end state</x:v>
      </x:c>
      <x:c r="J88" s="150" t="str">
        <x:v>cross-vocabulary natural family</x:v>
      </x:c>
      <x:c r="K88" s="150" t="str">
        <x:v>polyglycylation; side-chain glycine extension</x:v>
      </x:c>
      <x:c r="L88" s="185" t="str">
        <x:v>https://ftp.uniprot.org/pub/databases/uniprot/current_release/knowledgebase/complete/docs/ptmlist.txt | https://proteomescout.wustl.edu/</x:v>
      </x:c>
      <x:c r="M88" s="151" t="str">
        <x:v>high</x:v>
      </x:c>
      <x:c r="N88" s="151" t="n">
        <x:v>1</x:v>
      </x:c>
      <x:c r="O88" s="151" t="n">
        <x:v>1</x:v>
      </x:c>
      <x:c r="P88" s="151" t="n">
        <x:v>1</x:v>
      </x:c>
      <x:c r="Q88" s="151" t="n">
        <x:v>1</x:v>
      </x:c>
      <x:c r="R88" s="150" t="str">
        <x:v>mono and polymeric chain length are subtypes</x:v>
      </x:c>
    </x:row>
    <x:row r="89" ht="31.5" customHeight="1">
      <x:c r="A89" s="157" t="str">
        <x:v>ADJ088</x:v>
      </x:c>
      <x:c r="B89" s="158" t="str">
        <x:v>Hydroxylation</x:v>
      </x:c>
      <x:c r="C89" s="158" t="str">
        <x:v>Residue and terminal remodeling</x:v>
      </x:c>
      <x:c r="D89" s="159" t="n">
        <x:v>1</x:v>
      </x:c>
      <x:c r="E89" s="158" t="str">
        <x:v>inclusive_biological</x:v>
      </x:c>
      <x:c r="F89" s="158" t="str">
        <x:v>established</x:v>
      </x:c>
      <x:c r="G89" s="158" t="str">
        <x:v>Stable post-translational conversion of a residue or terminus without retaining a large external macromolecular payload.</x:v>
      </x:c>
      <x:c r="H89" s="158" t="str"/>
      <x:c r="I89" s="158" t="str">
        <x:v>KEPT as a chemically/biologically distinct installed end state</x:v>
      </x:c>
      <x:c r="J89" s="158" t="str">
        <x:v>dbPTM live named end state</x:v>
      </x:c>
      <x:c r="K89" s="158" t="str">
        <x:v>proline hydroxylation; lysine hydroxylation; asparagine hydroxylation</x:v>
      </x:c>
      <x:c r="L89" s="184" t="str">
        <x:v>https://biomics.lab.nycu.edu.tw/dbPTM/statistics.php | https://ftp.uniprot.org/pub/databases/uniprot/current_release/knowledgebase/complete/docs/ptmlist.txt</x:v>
      </x:c>
      <x:c r="M89" s="159" t="str">
        <x:v>high</x:v>
      </x:c>
      <x:c r="N89" s="159" t="n">
        <x:v>1</x:v>
      </x:c>
      <x:c r="O89" s="159" t="n">
        <x:v>1</x:v>
      </x:c>
      <x:c r="P89" s="159" t="n">
        <x:v>1</x:v>
      </x:c>
      <x:c r="Q89" s="159" t="n">
        <x:v>1</x:v>
      </x:c>
      <x:c r="R89" s="158" t="str">
        <x:v>residue and positional variants are subtypes</x:v>
      </x:c>
    </x:row>
    <x:row r="90" ht="31.5" customHeight="1">
      <x:c r="A90" s="149" t="str">
        <x:v>ADJ089</x:v>
      </x:c>
      <x:c r="B90" s="150" t="str">
        <x:v>Hypusination</x:v>
      </x:c>
      <x:c r="C90" s="150" t="str">
        <x:v>Residue and terminal remodeling</x:v>
      </x:c>
      <x:c r="D90" s="151" t="n">
        <x:v>1</x:v>
      </x:c>
      <x:c r="E90" s="150" t="str">
        <x:v>inclusive_biological</x:v>
      </x:c>
      <x:c r="F90" s="150" t="str">
        <x:v>established</x:v>
      </x:c>
      <x:c r="G90" s="150" t="str">
        <x:v>Stable post-translational conversion of a residue or terminus without retaining a large external macromolecular payload.</x:v>
      </x:c>
      <x:c r="H90" s="150" t="str"/>
      <x:c r="I90" s="150" t="str">
        <x:v>KEPT as a chemically/biologically distinct installed end state</x:v>
      </x:c>
      <x:c r="J90" s="150" t="str">
        <x:v>cross-vocabulary natural family</x:v>
      </x:c>
      <x:c r="K90" s="150" t="str">
        <x:v>hypusine formation; deoxyhypusine maturation</x:v>
      </x:c>
      <x:c r="L90" s="185" t="str">
        <x:v>https://ftp.uniprot.org/pub/databases/uniprot/current_release/knowledgebase/complete/docs/ptmlist.txt | https://proteomescout.wustl.edu/</x:v>
      </x:c>
      <x:c r="M90" s="151" t="str">
        <x:v>high</x:v>
      </x:c>
      <x:c r="N90" s="151" t="n">
        <x:v>1</x:v>
      </x:c>
      <x:c r="O90" s="151" t="n">
        <x:v>1</x:v>
      </x:c>
      <x:c r="P90" s="151" t="n">
        <x:v>1</x:v>
      </x:c>
      <x:c r="Q90" s="151" t="n">
        <x:v>1</x:v>
      </x:c>
      <x:c r="R90" s="150" t="str"/>
    </x:row>
    <x:row r="91" ht="31.5" customHeight="1">
      <x:c r="A91" s="157" t="str">
        <x:v>ADJ090</x:v>
      </x:c>
      <x:c r="B91" s="158" t="str">
        <x:v>Pyroglutamate formation</x:v>
      </x:c>
      <x:c r="C91" s="158" t="str">
        <x:v>Residue and terminal remodeling</x:v>
      </x:c>
      <x:c r="D91" s="159" t="n">
        <x:v>1</x:v>
      </x:c>
      <x:c r="E91" s="158" t="str">
        <x:v>inclusive_biological</x:v>
      </x:c>
      <x:c r="F91" s="158" t="str">
        <x:v>established</x:v>
      </x:c>
      <x:c r="G91" s="158" t="str">
        <x:v>Stable post-translational conversion of a residue or terminus without retaining a large external macromolecular payload.</x:v>
      </x:c>
      <x:c r="H91" s="158" t="str"/>
      <x:c r="I91" s="158" t="str">
        <x:v>KEPT as a chemically/biologically distinct installed end state</x:v>
      </x:c>
      <x:c r="J91" s="158" t="str">
        <x:v>dbPTM live named end state</x:v>
      </x:c>
      <x:c r="K91" s="158" t="str">
        <x:v>pyrrolidone carboxylic acid; N-terminal pyroglutamate; pyro-Glu</x:v>
      </x:c>
      <x:c r="L91" s="184" t="str">
        <x:v>https://biomics.lab.nycu.edu.tw/dbPTM/statistics.php</x:v>
      </x:c>
      <x:c r="M91" s="159" t="str">
        <x:v>high</x:v>
      </x:c>
      <x:c r="N91" s="159" t="n">
        <x:v>1</x:v>
      </x:c>
      <x:c r="O91" s="159" t="n">
        <x:v>1</x:v>
      </x:c>
      <x:c r="P91" s="159" t="n">
        <x:v>1</x:v>
      </x:c>
      <x:c r="Q91" s="159" t="n">
        <x:v>1</x:v>
      </x:c>
      <x:c r="R91" s="158" t="str"/>
    </x:row>
    <x:row r="92" ht="31.5" customHeight="1">
      <x:c r="A92" s="149" t="str">
        <x:v>ADJ091</x:v>
      </x:c>
      <x:c r="B92" s="150" t="str">
        <x:v>Stereoisomerization and racemization</x:v>
      </x:c>
      <x:c r="C92" s="150" t="str">
        <x:v>Residue and terminal remodeling</x:v>
      </x:c>
      <x:c r="D92" s="151" t="n">
        <x:v>1</x:v>
      </x:c>
      <x:c r="E92" s="150" t="str">
        <x:v>inclusive_biological</x:v>
      </x:c>
      <x:c r="F92" s="150" t="str">
        <x:v>established</x:v>
      </x:c>
      <x:c r="G92" s="150" t="str">
        <x:v>Stable post-translational conversion of a residue or terminus without retaining a large external macromolecular payload.</x:v>
      </x:c>
      <x:c r="H92" s="150" t="str"/>
      <x:c r="I92" s="150" t="str">
        <x:v>KEPT as a chemically/biologically distinct installed end state</x:v>
      </x:c>
      <x:c r="J92" s="150" t="str">
        <x:v>cross-vocabulary natural family</x:v>
      </x:c>
      <x:c r="K92" s="150" t="str">
        <x:v>isoaspartate formation; aspartate isomerization; D-amino-acid formation; residue racemization</x:v>
      </x:c>
      <x:c r="L92" s="185" t="str">
        <x:v>https://purl.obolibrary.org/obo/mod.obo | https://ftp.uniprot.org/pub/databases/uniprot/current_release/knowledgebase/complete/docs/ptmlist.txt</x:v>
      </x:c>
      <x:c r="M92" s="151" t="str">
        <x:v>high</x:v>
      </x:c>
      <x:c r="N92" s="151" t="n">
        <x:v>1</x:v>
      </x:c>
      <x:c r="O92" s="151" t="n">
        <x:v>1</x:v>
      </x:c>
      <x:c r="P92" s="151" t="n">
        <x:v>1</x:v>
      </x:c>
      <x:c r="Q92" s="151" t="n">
        <x:v>1</x:v>
      </x:c>
      <x:c r="R92" s="150" t="str">
        <x:v>chemical products are stereochemical or backbone-isomer subtypes</x:v>
      </x:c>
    </x:row>
    <x:row r="93" ht="31.5" customHeight="1">
      <x:c r="A93" s="157" t="str">
        <x:v>ADJ092</x:v>
      </x:c>
      <x:c r="B93" s="158" t="str">
        <x:v>Biotinylation</x:v>
      </x:c>
      <x:c r="C93" s="158" t="str">
        <x:v>Covalent cofactor and chromophore maturation</x:v>
      </x:c>
      <x:c r="D93" s="159" t="n">
        <x:v>1</x:v>
      </x:c>
      <x:c r="E93" s="158" t="str">
        <x:v>inclusive_biological</x:v>
      </x:c>
      <x:c r="F93" s="158" t="str">
        <x:v>established</x:v>
      </x:c>
      <x:c r="G93" s="158" t="str">
        <x:v>Stable mature covalent cofactor, prosthetic group, chromophore, or protein-derived catalytic end state.</x:v>
      </x:c>
      <x:c r="H93" s="158" t="str"/>
      <x:c r="I93" s="158" t="str">
        <x:v>KEPT as a chemically/biologically distinct installed end state</x:v>
      </x:c>
      <x:c r="J93" s="158" t="str">
        <x:v>dbPTM live named end state</x:v>
      </x:c>
      <x:c r="K93" s="158" t="str">
        <x:v>biotin-lysine; biocytin; covalent biotin attachment</x:v>
      </x:c>
      <x:c r="L93" s="184" t="str">
        <x:v>https://biomics.lab.nycu.edu.tw/dbPTM/statistics.php</x:v>
      </x:c>
      <x:c r="M93" s="159" t="str">
        <x:v>high</x:v>
      </x:c>
      <x:c r="N93" s="159" t="n">
        <x:v>1</x:v>
      </x:c>
      <x:c r="O93" s="159" t="n">
        <x:v>1</x:v>
      </x:c>
      <x:c r="P93" s="159" t="n">
        <x:v>1</x:v>
      </x:c>
      <x:c r="Q93" s="159" t="n">
        <x:v>0</x:v>
      </x:c>
      <x:c r="R93" s="158" t="str"/>
    </x:row>
    <x:row r="94" ht="31.5" customHeight="1">
      <x:c r="A94" s="149" t="str">
        <x:v>ADJ093</x:v>
      </x:c>
      <x:c r="B94" s="150" t="str">
        <x:v>Covalent porphyrin and dipyrromethane attachment</x:v>
      </x:c>
      <x:c r="C94" s="150" t="str">
        <x:v>Covalent cofactor and chromophore maturation</x:v>
      </x:c>
      <x:c r="D94" s="151" t="n">
        <x:v>1</x:v>
      </x:c>
      <x:c r="E94" s="150" t="str">
        <x:v>inclusive_biological</x:v>
      </x:c>
      <x:c r="F94" s="150" t="str">
        <x:v>established</x:v>
      </x:c>
      <x:c r="G94" s="150" t="str">
        <x:v>Stable mature covalent cofactor, prosthetic group, chromophore, or protein-derived catalytic end state.</x:v>
      </x:c>
      <x:c r="H94" s="150" t="str">
        <x:v>c-type heme thioethers | porphyrin attachment | dipyrromethanemethyl-cysteine</x:v>
      </x:c>
      <x:c r="I94" s="150" t="str">
        <x:v>MERGED dbPTM 'pyrrolylation' into its actual dipyrromethane-cofactor family</x:v>
      </x:c>
      <x:c r="J94" s="150" t="str">
        <x:v>cross-vocabulary natural family</x:v>
      </x:c>
      <x:c r="K94" s="150" t="str">
        <x:v>heme-cysteine thioether; covalent porphyrin attachment</x:v>
      </x:c>
      <x:c r="L94" s="185" t="str">
        <x:v>https://purl.obolibrary.org/obo/mod.obo | https://ftp.uniprot.org/pub/databases/uniprot/current_release/knowledgebase/complete/docs/ptmlist.txt</x:v>
      </x:c>
      <x:c r="M94" s="151" t="str">
        <x:v>high</x:v>
      </x:c>
      <x:c r="N94" s="151" t="n">
        <x:v>1</x:v>
      </x:c>
      <x:c r="O94" s="151" t="n">
        <x:v>1</x:v>
      </x:c>
      <x:c r="P94" s="151" t="n">
        <x:v>1</x:v>
      </x:c>
      <x:c r="Q94" s="151" t="n">
        <x:v>0</x:v>
      </x:c>
      <x:c r="R94" s="150" t="str"/>
    </x:row>
    <x:row r="95" ht="31.5" customHeight="1">
      <x:c r="A95" s="157" t="str">
        <x:v>ADJ094</x:v>
      </x:c>
      <x:c r="B95" s="158" t="str">
        <x:v>Flavinylation</x:v>
      </x:c>
      <x:c r="C95" s="158" t="str">
        <x:v>Covalent cofactor and chromophore maturation</x:v>
      </x:c>
      <x:c r="D95" s="159" t="n">
        <x:v>1</x:v>
      </x:c>
      <x:c r="E95" s="158" t="str">
        <x:v>inclusive_biological</x:v>
      </x:c>
      <x:c r="F95" s="158" t="str">
        <x:v>established</x:v>
      </x:c>
      <x:c r="G95" s="158" t="str">
        <x:v>Stable mature covalent cofactor, prosthetic group, chromophore, or protein-derived catalytic end state.</x:v>
      </x:c>
      <x:c r="H95" s="158" t="str"/>
      <x:c r="I95" s="158" t="str">
        <x:v>KEPT as a chemically/biologically distinct installed end state</x:v>
      </x:c>
      <x:c r="J95" s="158" t="str">
        <x:v>cross-vocabulary observed family</x:v>
      </x:c>
      <x:c r="K95" s="158" t="str">
        <x:v>covalent FAD; 8alpha-FAD-histidyl; flavin attachment</x:v>
      </x:c>
      <x:c r="L95" s="184" t="str">
        <x:v>https://purl.obolibrary.org/obo/mod.obo | https://proteomescout.wustl.edu/</x:v>
      </x:c>
      <x:c r="M95" s="159" t="str">
        <x:v>high</x:v>
      </x:c>
      <x:c r="N95" s="159" t="n">
        <x:v>1</x:v>
      </x:c>
      <x:c r="O95" s="159" t="n">
        <x:v>1</x:v>
      </x:c>
      <x:c r="P95" s="159" t="n">
        <x:v>1</x:v>
      </x:c>
      <x:c r="Q95" s="159" t="n">
        <x:v>0</x:v>
      </x:c>
      <x:c r="R95" s="158" t="str"/>
    </x:row>
    <x:row r="96" ht="31.5" customHeight="1">
      <x:c r="A96" s="149" t="str">
        <x:v>ADJ095</x:v>
      </x:c>
      <x:c r="B96" s="150" t="str">
        <x:v>Lipoylation</x:v>
      </x:c>
      <x:c r="C96" s="150" t="str">
        <x:v>Covalent cofactor and chromophore maturation</x:v>
      </x:c>
      <x:c r="D96" s="151" t="n">
        <x:v>1</x:v>
      </x:c>
      <x:c r="E96" s="150" t="str">
        <x:v>inclusive_biological</x:v>
      </x:c>
      <x:c r="F96" s="150" t="str">
        <x:v>established</x:v>
      </x:c>
      <x:c r="G96" s="150" t="str">
        <x:v>Stable mature covalent cofactor, prosthetic group, chromophore, or protein-derived catalytic end state.</x:v>
      </x:c>
      <x:c r="H96" s="150" t="str"/>
      <x:c r="I96" s="150" t="str">
        <x:v>KEPT as a chemically/biologically distinct installed end state</x:v>
      </x:c>
      <x:c r="J96" s="150" t="str">
        <x:v>dbPTM live named end state</x:v>
      </x:c>
      <x:c r="K96" s="150" t="str">
        <x:v>lipoate-lysine; lipoyl attachment</x:v>
      </x:c>
      <x:c r="L96" s="185" t="str">
        <x:v>https://biomics.lab.nycu.edu.tw/dbPTM/statistics.php</x:v>
      </x:c>
      <x:c r="M96" s="151" t="str">
        <x:v>high</x:v>
      </x:c>
      <x:c r="N96" s="151" t="n">
        <x:v>1</x:v>
      </x:c>
      <x:c r="O96" s="151" t="n">
        <x:v>1</x:v>
      </x:c>
      <x:c r="P96" s="151" t="n">
        <x:v>1</x:v>
      </x:c>
      <x:c r="Q96" s="151" t="n">
        <x:v>0</x:v>
      </x:c>
      <x:c r="R96" s="150" t="str"/>
    </x:row>
    <x:row r="97" ht="31.5" customHeight="1">
      <x:c r="A97" s="157" t="str">
        <x:v>ADJ096</x:v>
      </x:c>
      <x:c r="B97" s="158" t="str">
        <x:v>MIO cofactor formation</x:v>
      </x:c>
      <x:c r="C97" s="158" t="str">
        <x:v>Covalent cofactor and chromophore maturation</x:v>
      </x:c>
      <x:c r="D97" s="159" t="n">
        <x:v>1</x:v>
      </x:c>
      <x:c r="E97" s="158" t="str">
        <x:v>inclusive_biological</x:v>
      </x:c>
      <x:c r="F97" s="158" t="str">
        <x:v>established</x:v>
      </x:c>
      <x:c r="G97" s="158" t="str">
        <x:v>Stable mature covalent cofactor, prosthetic group, chromophore, or protein-derived catalytic end state.</x:v>
      </x:c>
      <x:c r="H97" s="158" t="str"/>
      <x:c r="I97" s="158" t="str">
        <x:v>ADDED after ontology/database correction pass</x:v>
      </x:c>
      <x:c r="J97" s="158" t="str">
        <x:v>primary-literature-validated natural covalent end state</x:v>
      </x:c>
      <x:c r="K97" s="158" t="str">
        <x:v>MIO cofactor formation</x:v>
      </x:c>
      <x:c r="L97" s="184" t="str">
        <x:v>https://doi.org/10.1016/j.cbpa.2009.06.013 | https://doi.org/10.1016/j.bbapap.2011.08.005</x:v>
      </x:c>
      <x:c r="M97" s="159" t="str">
        <x:v>high</x:v>
      </x:c>
      <x:c r="N97" s="159" t="n">
        <x:v>1</x:v>
      </x:c>
      <x:c r="O97" s="159" t="n">
        <x:v>1</x:v>
      </x:c>
      <x:c r="P97" s="159" t="n">
        <x:v>1</x:v>
      </x:c>
      <x:c r="Q97" s="159" t="n">
        <x:v>0</x:v>
      </x:c>
      <x:c r="R97" s="158" t="str">
        <x:v>Autocatalytic Ala-Ser-Gly backbone cyclization/dehydration forming 4-methylidene-imidazole-5-one.</x:v>
      </x:c>
    </x:row>
    <x:row r="98" ht="31.5" customHeight="1">
      <x:c r="A98" s="149" t="str">
        <x:v>ADJ097</x:v>
      </x:c>
      <x:c r="B98" s="150" t="str">
        <x:v>Phosphopantetheinylation</x:v>
      </x:c>
      <x:c r="C98" s="150" t="str">
        <x:v>Covalent cofactor and chromophore maturation</x:v>
      </x:c>
      <x:c r="D98" s="151" t="n">
        <x:v>1</x:v>
      </x:c>
      <x:c r="E98" s="150" t="str">
        <x:v>inclusive_biological</x:v>
      </x:c>
      <x:c r="F98" s="150" t="str">
        <x:v>established</x:v>
      </x:c>
      <x:c r="G98" s="150" t="str">
        <x:v>Stable mature covalent cofactor, prosthetic group, chromophore, or protein-derived catalytic end state.</x:v>
      </x:c>
      <x:c r="H98" s="150" t="str"/>
      <x:c r="I98" s="150" t="str">
        <x:v>KEPT as a chemically/biologically distinct installed end state</x:v>
      </x:c>
      <x:c r="J98" s="150" t="str">
        <x:v>cross-vocabulary observed family</x:v>
      </x:c>
      <x:c r="K98" s="150" t="str">
        <x:v>4-prime-phosphopantetheine-serine; holo-acyl carrier protein formation</x:v>
      </x:c>
      <x:c r="L98" s="185" t="str">
        <x:v>https://ftp.uniprot.org/pub/databases/uniprot/current_release/knowledgebase/complete/docs/ptmlist.txt | https://proteomescout.wustl.edu/</x:v>
      </x:c>
      <x:c r="M98" s="151" t="str">
        <x:v>high</x:v>
      </x:c>
      <x:c r="N98" s="151" t="n">
        <x:v>1</x:v>
      </x:c>
      <x:c r="O98" s="151" t="n">
        <x:v>1</x:v>
      </x:c>
      <x:c r="P98" s="151" t="n">
        <x:v>1</x:v>
      </x:c>
      <x:c r="Q98" s="151" t="n">
        <x:v>0</x:v>
      </x:c>
      <x:c r="R98" s="150" t="str"/>
    </x:row>
    <x:row r="99" ht="31.5" customHeight="1">
      <x:c r="A99" s="157" t="str">
        <x:v>ADJ098</x:v>
      </x:c>
      <x:c r="B99" s="158" t="str">
        <x:v>Protein chromophore formation</x:v>
      </x:c>
      <x:c r="C99" s="158" t="str">
        <x:v>Covalent cofactor and chromophore maturation</x:v>
      </x:c>
      <x:c r="D99" s="159" t="n">
        <x:v>1</x:v>
      </x:c>
      <x:c r="E99" s="158" t="str">
        <x:v>inclusive_biological</x:v>
      </x:c>
      <x:c r="F99" s="158" t="str">
        <x:v>established</x:v>
      </x:c>
      <x:c r="G99" s="158" t="str">
        <x:v>Stable mature covalent cofactor, prosthetic group, chromophore, or protein-derived catalytic end state.</x:v>
      </x:c>
      <x:c r="H99" s="158" t="str"/>
      <x:c r="I99" s="158" t="str">
        <x:v>KEPT as a chemically/biologically distinct installed end state</x:v>
      </x:c>
      <x:c r="J99" s="158" t="str">
        <x:v>cross-vocabulary natural family</x:v>
      </x:c>
      <x:c r="K99" s="158" t="str">
        <x:v>GFP-like chromophore; autocatalytic chromophore maturation</x:v>
      </x:c>
      <x:c r="L99" s="184" t="str">
        <x:v>https://purl.obolibrary.org/obo/mod.obo | https://ftp.uniprot.org/pub/databases/uniprot/current_release/knowledgebase/complete/docs/ptmlist.txt</x:v>
      </x:c>
      <x:c r="M99" s="159" t="str">
        <x:v>moderate</x:v>
      </x:c>
      <x:c r="N99" s="159" t="n">
        <x:v>1</x:v>
      </x:c>
      <x:c r="O99" s="159" t="n">
        <x:v>1</x:v>
      </x:c>
      <x:c r="P99" s="159" t="n">
        <x:v>1</x:v>
      </x:c>
      <x:c r="Q99" s="159" t="n">
        <x:v>0</x:v>
      </x:c>
      <x:c r="R99" s="158" t="str">
        <x:v>chromophore chemotypes are subtypes of one maturation route</x:v>
      </x:c>
    </x:row>
    <x:row r="100" ht="31.5" customHeight="1">
      <x:c r="A100" s="149" t="str">
        <x:v>ADJ099</x:v>
      </x:c>
      <x:c r="B100" s="150" t="str">
        <x:v>Pyridoxal-phosphate attachment</x:v>
      </x:c>
      <x:c r="C100" s="150" t="str">
        <x:v>Covalent cofactor and chromophore maturation</x:v>
      </x:c>
      <x:c r="D100" s="151" t="n">
        <x:v>1</x:v>
      </x:c>
      <x:c r="E100" s="150" t="str">
        <x:v>inclusive_biological</x:v>
      </x:c>
      <x:c r="F100" s="150" t="str">
        <x:v>established</x:v>
      </x:c>
      <x:c r="G100" s="150" t="str">
        <x:v>Stable mature covalent cofactor, prosthetic group, chromophore, or protein-derived catalytic end state.</x:v>
      </x:c>
      <x:c r="H100" s="150" t="str"/>
      <x:c r="I100" s="150" t="str">
        <x:v>KEPT as a chemically/biologically distinct installed end state</x:v>
      </x:c>
      <x:c r="J100" s="150" t="str">
        <x:v>cross-vocabulary observed family</x:v>
      </x:c>
      <x:c r="K100" s="150" t="str">
        <x:v>PLP-lysine Schiff base; pyridoxal phosphate lysine</x:v>
      </x:c>
      <x:c r="L100" s="185" t="str">
        <x:v>https://ftp.uniprot.org/pub/databases/uniprot/current_release/knowledgebase/complete/docs/ptmlist.txt | https://proteomescout.wustl.edu/</x:v>
      </x:c>
      <x:c r="M100" s="151" t="str">
        <x:v>high</x:v>
      </x:c>
      <x:c r="N100" s="151" t="n">
        <x:v>1</x:v>
      </x:c>
      <x:c r="O100" s="151" t="n">
        <x:v>1</x:v>
      </x:c>
      <x:c r="P100" s="151" t="n">
        <x:v>1</x:v>
      </x:c>
      <x:c r="Q100" s="151" t="n">
        <x:v>0</x:v>
      </x:c>
      <x:c r="R100" s="150" t="str">
        <x:v>stable mature cofactor attachment is counted but transient catalytic imines are excluded</x:v>
      </x:c>
    </x:row>
    <x:row r="101" ht="31.5" customHeight="1">
      <x:c r="A101" s="157" t="str">
        <x:v>ADJ100</x:v>
      </x:c>
      <x:c r="B101" s="158" t="str">
        <x:v>Pyruvoyl formation</x:v>
      </x:c>
      <x:c r="C101" s="158" t="str">
        <x:v>Covalent cofactor and chromophore maturation</x:v>
      </x:c>
      <x:c r="D101" s="159" t="n">
        <x:v>1</x:v>
      </x:c>
      <x:c r="E101" s="158" t="str">
        <x:v>inclusive_biological</x:v>
      </x:c>
      <x:c r="F101" s="158" t="str">
        <x:v>established</x:v>
      </x:c>
      <x:c r="G101" s="158" t="str">
        <x:v>Stable mature covalent cofactor, prosthetic group, chromophore, or protein-derived catalytic end state.</x:v>
      </x:c>
      <x:c r="H101" s="158" t="str"/>
      <x:c r="I101" s="158" t="str">
        <x:v>KEPT as a chemically/biologically distinct installed end state</x:v>
      </x:c>
      <x:c r="J101" s="158" t="str">
        <x:v>dbPTM live named end state</x:v>
      </x:c>
      <x:c r="K101" s="158" t="str">
        <x:v>pyruvate prosthetic group; pyruvoyl residue formation</x:v>
      </x:c>
      <x:c r="L101" s="184" t="str">
        <x:v>https://biomics.lab.nycu.edu.tw/dbPTM/statistics.php | https://ftp.uniprot.org/pub/databases/uniprot/current_release/knowledgebase/complete/docs/ptmlist.txt</x:v>
      </x:c>
      <x:c r="M101" s="159" t="str">
        <x:v>high</x:v>
      </x:c>
      <x:c r="N101" s="159" t="n">
        <x:v>1</x:v>
      </x:c>
      <x:c r="O101" s="159" t="n">
        <x:v>1</x:v>
      </x:c>
      <x:c r="P101" s="159" t="n">
        <x:v>1</x:v>
      </x:c>
      <x:c r="Q101" s="159" t="n">
        <x:v>0</x:v>
      </x:c>
      <x:c r="R101" s="158" t="str"/>
    </x:row>
    <x:row r="102" ht="31.5" customHeight="1">
      <x:c r="A102" s="149" t="str">
        <x:v>ADJ101</x:v>
      </x:c>
      <x:c r="B102" s="150" t="str">
        <x:v>Quinone and protein-derived cofactor formation</x:v>
      </x:c>
      <x:c r="C102" s="150" t="str">
        <x:v>Covalent cofactor and chromophore maturation</x:v>
      </x:c>
      <x:c r="D102" s="151" t="n">
        <x:v>1</x:v>
      </x:c>
      <x:c r="E102" s="150" t="str">
        <x:v>inclusive_biological</x:v>
      </x:c>
      <x:c r="F102" s="150" t="str">
        <x:v>established</x:v>
      </x:c>
      <x:c r="G102" s="150" t="str">
        <x:v>Stable mature covalent cofactor, prosthetic group, chromophore, or protein-derived catalytic end state.</x:v>
      </x:c>
      <x:c r="H102" s="150" t="str"/>
      <x:c r="I102" s="150" t="str">
        <x:v>KEPT as a chemically/biologically distinct installed end state</x:v>
      </x:c>
      <x:c r="J102" s="150" t="str">
        <x:v>cross-vocabulary observed family</x:v>
      </x:c>
      <x:c r="K102" s="150" t="str">
        <x:v>TPQ; LTQ; TTQ; CTQ; PQQ-like protein-derived quinone</x:v>
      </x:c>
      <x:c r="L102" s="185" t="str">
        <x:v>https://pubs.rsc.org/en/content/articlehtml/2025/cs/d4cs00981a | https://proteomescout.wustl.edu/ | https://ftp.uniprot.org/pub/databases/uniprot/current_release/knowledgebase/complete/docs/ptmlist.txt</x:v>
      </x:c>
      <x:c r="M102" s="151" t="str">
        <x:v>high</x:v>
      </x:c>
      <x:c r="N102" s="151" t="n">
        <x:v>1</x:v>
      </x:c>
      <x:c r="O102" s="151" t="n">
        <x:v>1</x:v>
      </x:c>
      <x:c r="P102" s="151" t="n">
        <x:v>1</x:v>
      </x:c>
      <x:c r="Q102" s="151" t="n">
        <x:v>0</x:v>
      </x:c>
      <x:c r="R102" s="150" t="str">
        <x:v>individual quinone cofactors are subtypes</x:v>
      </x:c>
    </x:row>
    <x:row r="103" ht="31.5" customHeight="1">
      <x:c r="A103" s="157" t="str">
        <x:v>ADJ102</x:v>
      </x:c>
      <x:c r="B103" s="158" t="str">
        <x:v>Retinal Schiff-base formation</x:v>
      </x:c>
      <x:c r="C103" s="158" t="str">
        <x:v>Covalent cofactor and chromophore maturation</x:v>
      </x:c>
      <x:c r="D103" s="159" t="n">
        <x:v>1</x:v>
      </x:c>
      <x:c r="E103" s="158" t="str">
        <x:v>inclusive_biological</x:v>
      </x:c>
      <x:c r="F103" s="158" t="str">
        <x:v>established</x:v>
      </x:c>
      <x:c r="G103" s="158" t="str">
        <x:v>Stable mature covalent cofactor, prosthetic group, chromophore, or protein-derived catalytic end state.</x:v>
      </x:c>
      <x:c r="H103" s="158" t="str"/>
      <x:c r="I103" s="158" t="str">
        <x:v>KEPT as a chemically/biologically distinct installed end state</x:v>
      </x:c>
      <x:c r="J103" s="158" t="str">
        <x:v>cross-vocabulary observed family</x:v>
      </x:c>
      <x:c r="K103" s="158" t="str">
        <x:v>retinylidene-lysine; retinal-lysine Schiff base</x:v>
      </x:c>
      <x:c r="L103" s="184" t="str">
        <x:v>https://ftp.uniprot.org/pub/databases/uniprot/current_release/knowledgebase/complete/docs/ptmlist.txt | https://proteomescout.wustl.edu/</x:v>
      </x:c>
      <x:c r="M103" s="159" t="str">
        <x:v>high</x:v>
      </x:c>
      <x:c r="N103" s="159" t="n">
        <x:v>1</x:v>
      </x:c>
      <x:c r="O103" s="159" t="n">
        <x:v>1</x:v>
      </x:c>
      <x:c r="P103" s="159" t="n">
        <x:v>1</x:v>
      </x:c>
      <x:c r="Q103" s="159" t="n">
        <x:v>0</x:v>
      </x:c>
      <x:c r="R103" s="158" t="str"/>
    </x:row>
    <x:row r="104" ht="31.5" customHeight="1">
      <x:c r="A104" s="149" t="str">
        <x:v>ADJ103</x:v>
      </x:c>
      <x:c r="B104" s="150" t="str">
        <x:v>S-selanylation</x:v>
      </x:c>
      <x:c r="C104" s="150" t="str">
        <x:v>Covalent cofactor and chromophore maturation</x:v>
      </x:c>
      <x:c r="D104" s="151" t="n">
        <x:v>1</x:v>
      </x:c>
      <x:c r="E104" s="150" t="str">
        <x:v>inclusive_biological</x:v>
      </x:c>
      <x:c r="F104" s="150" t="str">
        <x:v>established</x:v>
      </x:c>
      <x:c r="G104" s="150" t="str">
        <x:v>Stable mature covalent cofactor, prosthetic group, chromophore, or protein-derived catalytic end state.</x:v>
      </x:c>
      <x:c r="H104" s="150" t="str">
        <x:v>S-selanylcysteine</x:v>
      </x:c>
      <x:c r="I104" s="150" t="str">
        <x:v>RECLASSIFIED from generic redox damage to a natural specialized catalytic/cofactor end state</x:v>
      </x:c>
      <x:c r="J104" s="150" t="str">
        <x:v>dbPTM live named end state</x:v>
      </x:c>
      <x:c r="K104" s="150" t="str">
        <x:v>S-selanylcysteine; S-selanylation</x:v>
      </x:c>
      <x:c r="L104" s="185" t="str">
        <x:v>https://ftp.uniprot.org/pub/databases/uniprot/current_release/knowledgebase/complete/docs/ptmlist.txt | https://purl.obolibrary.org/obo/mod.obo</x:v>
      </x:c>
      <x:c r="M104" s="151" t="str">
        <x:v>low</x:v>
      </x:c>
      <x:c r="N104" s="151" t="n">
        <x:v>1</x:v>
      </x:c>
      <x:c r="O104" s="151" t="n">
        <x:v>1</x:v>
      </x:c>
      <x:c r="P104" s="151" t="n">
        <x:v>1</x:v>
      </x:c>
      <x:c r="Q104" s="151" t="n">
        <x:v>0</x:v>
      </x:c>
      <x:c r="R104" s="150" t="str">
        <x:v>sparse and chemically specialized family</x:v>
      </x:c>
    </x:row>
    <x:row r="105" ht="31.5" customHeight="1">
      <x:c r="A105" s="157" t="str">
        <x:v>ADJ104</x:v>
      </x:c>
      <x:c r="B105" s="158" t="str">
        <x:v>Dehydroamino-acid and thioether crosslinking</x:v>
      </x:c>
      <x:c r="C105" s="158" t="str">
        <x:v>Endogenous crosslinking</x:v>
      </x:c>
      <x:c r="D105" s="159" t="n">
        <x:v>1</x:v>
      </x:c>
      <x:c r="E105" s="158" t="str">
        <x:v>inclusive_biological</x:v>
      </x:c>
      <x:c r="F105" s="158" t="str">
        <x:v>established</x:v>
      </x:c>
      <x:c r="G105" s="158" t="str">
        <x:v>Stable endogenous covalent bond connecting two or more protein residues; endpoint residue identities are child fields.</x:v>
      </x:c>
      <x:c r="H105" s="158" t="str">
        <x:v>dehydroalanine/dehydrobutyrine | lanthionine/methyllanthionine | lysinoalanine/histidinoalanine</x:v>
      </x:c>
      <x:c r="I105" s="158" t="str">
        <x:v>MERGED dehydration-derived crosslinks under their shared precursor mechanism</x:v>
      </x:c>
      <x:c r="J105" s="158" t="str">
        <x:v>cross-vocabulary natural family</x:v>
      </x:c>
      <x:c r="K105" s="158" t="str">
        <x:v>lanthionine; methyllanthionine; lysinoalanine; thioether bridge</x:v>
      </x:c>
      <x:c r="L105" s="184" t="str">
        <x:v>https://purl.obolibrary.org/obo/mod.obo | https://ftp.uniprot.org/pub/databases/uniprot/current_release/knowledgebase/complete/docs/ptmlist.txt</x:v>
      </x:c>
      <x:c r="M105" s="159" t="str">
        <x:v>high</x:v>
      </x:c>
      <x:c r="N105" s="159" t="n">
        <x:v>1</x:v>
      </x:c>
      <x:c r="O105" s="159" t="n">
        <x:v>1</x:v>
      </x:c>
      <x:c r="P105" s="159" t="n">
        <x:v>1</x:v>
      </x:c>
      <x:c r="Q105" s="159" t="n">
        <x:v>1</x:v>
      </x:c>
      <x:c r="R105" s="158" t="str"/>
    </x:row>
    <x:row r="106" ht="31.5" customHeight="1">
      <x:c r="A106" s="149" t="str">
        <x:v>ADJ105</x:v>
      </x:c>
      <x:c r="B106" s="150" t="str">
        <x:v>Disulfide formation</x:v>
      </x:c>
      <x:c r="C106" s="150" t="str">
        <x:v>Endogenous crosslinking</x:v>
      </x:c>
      <x:c r="D106" s="151" t="n">
        <x:v>1</x:v>
      </x:c>
      <x:c r="E106" s="150" t="str">
        <x:v>inclusive_biological</x:v>
      </x:c>
      <x:c r="F106" s="150" t="str">
        <x:v>established</x:v>
      </x:c>
      <x:c r="G106" s="150" t="str">
        <x:v>Stable endogenous covalent bond connecting two or more protein residues; endpoint residue identities are child fields.</x:v>
      </x:c>
      <x:c r="H106" s="150" t="str"/>
      <x:c r="I106" s="150" t="str">
        <x:v>KEPT as a chemically/biologically distinct installed end state</x:v>
      </x:c>
      <x:c r="J106" s="150" t="str">
        <x:v>dbPTM live named end state</x:v>
      </x:c>
      <x:c r="K106" s="150" t="str">
        <x:v>intrachain disulfide; interchain disulfide; cystine</x:v>
      </x:c>
      <x:c r="L106" s="185" t="str">
        <x:v>https://biomics.lab.nycu.edu.tw/dbPTM/statistics.php | https://ftp.uniprot.org/pub/databases/uniprot/current_release/knowledgebase/complete/docs/ptmlist.txt</x:v>
      </x:c>
      <x:c r="M106" s="151" t="str">
        <x:v>high</x:v>
      </x:c>
      <x:c r="N106" s="151" t="n">
        <x:v>1</x:v>
      </x:c>
      <x:c r="O106" s="151" t="n">
        <x:v>1</x:v>
      </x:c>
      <x:c r="P106" s="151" t="n">
        <x:v>1</x:v>
      </x:c>
      <x:c r="Q106" s="151" t="n">
        <x:v>1</x:v>
      </x:c>
      <x:c r="R106" s="150" t="str">
        <x:v>endogenous disulfides included</x:v>
      </x:c>
    </x:row>
    <x:row r="107" ht="31.5" customHeight="1">
      <x:c r="A107" s="157" t="str">
        <x:v>ADJ106</x:v>
      </x:c>
      <x:c r="B107" s="158" t="str">
        <x:v>Dityrosine and isodityrosine crosslinking</x:v>
      </x:c>
      <x:c r="C107" s="158" t="str">
        <x:v>Endogenous crosslinking</x:v>
      </x:c>
      <x:c r="D107" s="159" t="n">
        <x:v>1</x:v>
      </x:c>
      <x:c r="E107" s="158" t="str">
        <x:v>inclusive_biological</x:v>
      </x:c>
      <x:c r="F107" s="158" t="str">
        <x:v>established</x:v>
      </x:c>
      <x:c r="G107" s="158" t="str">
        <x:v>Stable endogenous covalent bond connecting two or more protein residues; endpoint residue identities are child fields.</x:v>
      </x:c>
      <x:c r="H107" s="158" t="str">
        <x:v>dityrosine C-C | isodityrosine C-O | related phenolic residue crosslinks</x:v>
      </x:c>
      <x:c r="I107" s="158" t="str">
        <x:v>KEPT as a chemically/biologically distinct installed end state</x:v>
      </x:c>
      <x:c r="J107" s="158" t="str">
        <x:v>cross-vocabulary natural family</x:v>
      </x:c>
      <x:c r="K107" s="158" t="str">
        <x:v>dityrosine; isodityrosine; di-isodityrosine</x:v>
      </x:c>
      <x:c r="L107" s="184" t="str">
        <x:v>https://purl.obolibrary.org/obo/mod.obo | https://ftp.uniprot.org/pub/databases/uniprot/current_release/knowledgebase/complete/docs/ptmlist.txt</x:v>
      </x:c>
      <x:c r="M107" s="159" t="str">
        <x:v>high</x:v>
      </x:c>
      <x:c r="N107" s="159" t="n">
        <x:v>1</x:v>
      </x:c>
      <x:c r="O107" s="159" t="n">
        <x:v>1</x:v>
      </x:c>
      <x:c r="P107" s="159" t="n">
        <x:v>1</x:v>
      </x:c>
      <x:c r="Q107" s="159" t="n">
        <x:v>1</x:v>
      </x:c>
      <x:c r="R107" s="158" t="str"/>
    </x:row>
    <x:row r="108" ht="31.5" customHeight="1">
      <x:c r="A108" s="149" t="str">
        <x:v>ADJ107</x:v>
      </x:c>
      <x:c r="B108" s="150" t="str">
        <x:v>Non-tag isopeptide crosslinking</x:v>
      </x:c>
      <x:c r="C108" s="150" t="str">
        <x:v>Endogenous crosslinking</x:v>
      </x:c>
      <x:c r="D108" s="151" t="n">
        <x:v>1</x:v>
      </x:c>
      <x:c r="E108" s="150" t="str">
        <x:v>inclusive_biological</x:v>
      </x:c>
      <x:c r="F108" s="150" t="str">
        <x:v>established</x:v>
      </x:c>
      <x:c r="G108" s="150" t="str">
        <x:v>Stable endogenous covalent bond connecting two or more protein residues; endpoint residue identities are child fields.</x:v>
      </x:c>
      <x:c r="H108" s="150" t="str"/>
      <x:c r="I108" s="150" t="str">
        <x:v>KEPT as a chemically/biologically distinct installed end state</x:v>
      </x:c>
      <x:c r="J108" s="150" t="str">
        <x:v>normalized dbPTM family</x:v>
      </x:c>
      <x:c r="K108" s="150" t="str">
        <x:v>lysine-glutamine isopeptide; internal isopeptide bond; formation of an isopeptide bond</x:v>
      </x:c>
      <x:c r="L108" s="185" t="str">
        <x:v>https://biomics.lab.nycu.edu.tw/dbPTM/statistics.php | https://ftp.uniprot.org/pub/databases/uniprot/current_release/knowledgebase/complete/docs/ptmlist.txt</x:v>
      </x:c>
      <x:c r="M108" s="151" t="str">
        <x:v>high</x:v>
      </x:c>
      <x:c r="N108" s="151" t="n">
        <x:v>1</x:v>
      </x:c>
      <x:c r="O108" s="151" t="n">
        <x:v>1</x:v>
      </x:c>
      <x:c r="P108" s="151" t="n">
        <x:v>1</x:v>
      </x:c>
      <x:c r="Q108" s="151" t="n">
        <x:v>1</x:v>
      </x:c>
      <x:c r="R108" s="150" t="str">
        <x:v>protein-tag conjugates are assigned to their named tag families instead</x:v>
      </x:c>
    </x:row>
    <x:row r="109" ht="31.5" customHeight="1">
      <x:c r="A109" s="157" t="str">
        <x:v>ADJ108</x:v>
      </x:c>
      <x:c r="B109" s="158" t="str">
        <x:v>NOS/SONOS redox crosslinking</x:v>
      </x:c>
      <x:c r="C109" s="158" t="str">
        <x:v>Endogenous crosslinking</x:v>
      </x:c>
      <x:c r="D109" s="159" t="n">
        <x:v>1</x:v>
      </x:c>
      <x:c r="E109" s="158" t="str">
        <x:v>inclusive_biological</x:v>
      </x:c>
      <x:c r="F109" s="158" t="str">
        <x:v>established</x:v>
      </x:c>
      <x:c r="G109" s="158" t="str">
        <x:v>Stable endogenous covalent bond connecting two or more protein residues; endpoint residue identities are child fields.</x:v>
      </x:c>
      <x:c r="H109" s="158" t="str">
        <x:v>NOS bridge | SONOS bridge</x:v>
      </x:c>
      <x:c r="I109" s="158" t="str">
        <x:v>ADDED after ontology/database correction pass</x:v>
      </x:c>
      <x:c r="J109" s="158" t="str">
        <x:v>primary-literature-validated natural covalent end state</x:v>
      </x:c>
      <x:c r="K109" s="158" t="str">
        <x:v>NOS/SONOS redox crosslinking</x:v>
      </x:c>
      <x:c r="L109" s="184" t="str">
        <x:v>https://doi.org/10.1038/s41589-021-00966-5</x:v>
      </x:c>
      <x:c r="M109" s="159" t="str">
        <x:v>high</x:v>
      </x:c>
      <x:c r="N109" s="159" t="n">
        <x:v>1</x:v>
      </x:c>
      <x:c r="O109" s="159" t="n">
        <x:v>1</x:v>
      </x:c>
      <x:c r="P109" s="159" t="n">
        <x:v>1</x:v>
      </x:c>
      <x:c r="Q109" s="159" t="n">
        <x:v>1</x:v>
      </x:c>
      <x:c r="R109" s="158" t="str">
        <x:v>Natural Lys-O-Cys and branched Cys-O-Lys-O-Cys redox-switch crosslinks.</x:v>
      </x:c>
    </x:row>
    <x:row r="110" ht="31.5" customHeight="1">
      <x:c r="A110" s="149" t="str">
        <x:v>ADJ109</x:v>
      </x:c>
      <x:c r="B110" s="150" t="str">
        <x:v>Sulfilimine crosslinking</x:v>
      </x:c>
      <x:c r="C110" s="150" t="str">
        <x:v>Endogenous crosslinking</x:v>
      </x:c>
      <x:c r="D110" s="151" t="n">
        <x:v>1</x:v>
      </x:c>
      <x:c r="E110" s="150" t="str">
        <x:v>inclusive_biological</x:v>
      </x:c>
      <x:c r="F110" s="150" t="str">
        <x:v>established</x:v>
      </x:c>
      <x:c r="G110" s="150" t="str">
        <x:v>Stable endogenous covalent bond connecting two or more protein residues; endpoint residue identities are child fields.</x:v>
      </x:c>
      <x:c r="H110" s="150" t="str">
        <x:v>S-hydroxylysyl-methionine | S-lysyl-methionine</x:v>
      </x:c>
      <x:c r="I110" s="150" t="str">
        <x:v>ADDED after ontology/database correction pass</x:v>
      </x:c>
      <x:c r="J110" s="150" t="str">
        <x:v>primary-literature-validated natural covalent end state</x:v>
      </x:c>
      <x:c r="K110" s="150" t="str">
        <x:v>Sulfilimine crosslinking</x:v>
      </x:c>
      <x:c r="L110" s="185" t="str">
        <x:v>https://doi.org/10.1038/nchembio.1038 | https://pmc.ncbi.nlm.nih.gov/articles/PMC2876822/</x:v>
      </x:c>
      <x:c r="M110" s="151" t="str">
        <x:v>high</x:v>
      </x:c>
      <x:c r="N110" s="151" t="n">
        <x:v>1</x:v>
      </x:c>
      <x:c r="O110" s="151" t="n">
        <x:v>1</x:v>
      </x:c>
      <x:c r="P110" s="151" t="n">
        <x:v>1</x:v>
      </x:c>
      <x:c r="Q110" s="151" t="n">
        <x:v>1</x:v>
      </x:c>
      <x:c r="R110" s="150" t="str">
        <x:v>Peroxidasin/hypohalous-acid-enabled Met-S=N-Lys/Hyl crosslink stabilizing collagen IV.</x:v>
      </x:c>
    </x:row>
    <x:row r="111" ht="31.5" customHeight="1">
      <x:c r="A111" s="157" t="str">
        <x:v>ADJ110</x:v>
      </x:c>
      <x:c r="B111" s="158" t="str">
        <x:v>Protein splicing</x:v>
      </x:c>
      <x:c r="C111" s="158" t="str">
        <x:v>Backbone processing and rearrangement</x:v>
      </x:c>
      <x:c r="D111" s="159" t="n">
        <x:v>1</x:v>
      </x:c>
      <x:c r="E111" s="158" t="str">
        <x:v>inclusive_biological</x:v>
      </x:c>
      <x:c r="F111" s="158" t="str">
        <x:v>established</x:v>
      </x:c>
      <x:c r="G111" s="158" t="str">
        <x:v>Post-translational peptide-backbone cleavage, excision, ligation, or rearrangement.</x:v>
      </x:c>
      <x:c r="H111" s="158" t="str"/>
      <x:c r="I111" s="158" t="str">
        <x:v>KEPT as a chemically/biologically distinct installed end state</x:v>
      </x:c>
      <x:c r="J111" s="158" t="str">
        <x:v>review-backed natural family</x:v>
      </x:c>
      <x:c r="K111" s="158" t="str">
        <x:v>intein excision; protein trans-splicing; peptide-ligation rearrangement</x:v>
      </x:c>
      <x:c r="L111" s="184" t="str">
        <x:v>https://pmc.ncbi.nlm.nih.gov/articles/PMC7135711/</x:v>
      </x:c>
      <x:c r="M111" s="159" t="str">
        <x:v>high</x:v>
      </x:c>
      <x:c r="N111" s="159" t="n">
        <x:v>1</x:v>
      </x:c>
      <x:c r="O111" s="159" t="n">
        <x:v>1</x:v>
      </x:c>
      <x:c r="P111" s="159" t="n">
        <x:v>0</x:v>
      </x:c>
      <x:c r="Q111" s="159" t="n">
        <x:v>1</x:v>
      </x:c>
      <x:c r="R111" s="158" t="str"/>
    </x:row>
    <x:row r="112" ht="31.5" customHeight="1">
      <x:c r="A112" s="153" t="str">
        <x:v>ADJ111</x:v>
      </x:c>
      <x:c r="B112" s="154" t="str">
        <x:v>Proteolytic cleavage and processing</x:v>
      </x:c>
      <x:c r="C112" s="154" t="str">
        <x:v>Backbone processing and rearrangement</x:v>
      </x:c>
      <x:c r="D112" s="155" t="n">
        <x:v>1</x:v>
      </x:c>
      <x:c r="E112" s="154" t="str">
        <x:v>inclusive_biological</x:v>
      </x:c>
      <x:c r="F112" s="154" t="str">
        <x:v>established</x:v>
      </x:c>
      <x:c r="G112" s="154" t="str">
        <x:v>Post-translational peptide-backbone cleavage, excision, ligation, or rearrangement.</x:v>
      </x:c>
      <x:c r="H112" s="154" t="str"/>
      <x:c r="I112" s="154" t="str">
        <x:v>KEPT as a chemically/biologically distinct installed end state</x:v>
      </x:c>
      <x:c r="J112" s="154" t="str">
        <x:v>UniProt-defined PTM and review-backed family</x:v>
      </x:c>
      <x:c r="K112" s="154" t="str">
        <x:v>signal-peptide cleavage; propeptide cleavage; initiator-methionine excision; chain maturation; backbone cleavage</x:v>
      </x:c>
      <x:c r="L112" s="186" t="str">
        <x:v>https://www.uniprot.org/help/post-translational_modification | https://www.uniprot.org/help/sequence_annotation | https://www.uniprot.org/help/init_met</x:v>
      </x:c>
      <x:c r="M112" s="155" t="str">
        <x:v>high</x:v>
      </x:c>
      <x:c r="N112" s="155" t="n">
        <x:v>1</x:v>
      </x:c>
      <x:c r="O112" s="155" t="n">
        <x:v>1</x:v>
      </x:c>
      <x:c r="P112" s="155" t="n">
        <x:v>0</x:v>
      </x:c>
      <x:c r="Q112" s="155" t="n">
        <x:v>1</x:v>
      </x:c>
      <x:c r="R112" s="154" t="str">
        <x:v>cleavage contexts are subtypes of one backbone-processing family for the headline ledger</x:v>
      </x:c>
    </x:row>
  </x:sheetData>
  <x:hyperlinks>
    <x:hyperlink ref="L2" r:id="rIdHyperlink1"/>
    <x:hyperlink ref="L3" r:id="rIdHyperlink2"/>
    <x:hyperlink ref="L4" r:id="rIdHyperlink3"/>
    <x:hyperlink ref="L5" r:id="rIdHyperlink4"/>
    <x:hyperlink ref="L6" r:id="rIdHyperlink5"/>
    <x:hyperlink ref="L7" r:id="rIdHyperlink6"/>
    <x:hyperlink ref="L8" r:id="rIdHyperlink7"/>
    <x:hyperlink ref="L9" r:id="rIdHyperlink8"/>
    <x:hyperlink ref="L10" r:id="rIdHyperlink9"/>
    <x:hyperlink ref="L11" r:id="rIdHyperlink10"/>
    <x:hyperlink ref="L12" r:id="rIdHyperlink11"/>
    <x:hyperlink ref="L13" r:id="rIdHyperlink12"/>
    <x:hyperlink ref="L14" r:id="rIdHyperlink13"/>
    <x:hyperlink ref="L15" r:id="rIdHyperlink14"/>
    <x:hyperlink ref="L16" r:id="rIdHyperlink15"/>
    <x:hyperlink ref="L17" r:id="rIdHyperlink16"/>
    <x:hyperlink ref="L18" r:id="rIdHyperlink17"/>
    <x:hyperlink ref="L19" r:id="rIdHyperlink18"/>
    <x:hyperlink ref="L20" r:id="rIdHyperlink19"/>
    <x:hyperlink ref="L21" r:id="rIdHyperlink20"/>
    <x:hyperlink ref="L22" r:id="rIdHyperlink21"/>
    <x:hyperlink ref="L23" r:id="rIdHyperlink22"/>
    <x:hyperlink ref="L24" r:id="rIdHyperlink23"/>
    <x:hyperlink ref="L25" r:id="rIdHyperlink24"/>
    <x:hyperlink ref="L26" r:id="rIdHyperlink25"/>
    <x:hyperlink ref="L27" r:id="rIdHyperlink26"/>
    <x:hyperlink ref="L28" r:id="rIdHyperlink27"/>
    <x:hyperlink ref="L29" r:id="rIdHyperlink28"/>
    <x:hyperlink ref="L30" r:id="rIdHyperlink29"/>
    <x:hyperlink ref="L31" r:id="rIdHyperlink30"/>
    <x:hyperlink ref="L32" r:id="rIdHyperlink31"/>
    <x:hyperlink ref="L33" r:id="rIdHyperlink32"/>
    <x:hyperlink ref="L34" r:id="rIdHyperlink33"/>
    <x:hyperlink ref="L35" r:id="rIdHyperlink34"/>
    <x:hyperlink ref="L36" r:id="rIdHyperlink35"/>
    <x:hyperlink ref="L37" r:id="rIdHyperlink36"/>
    <x:hyperlink ref="L38" r:id="rIdHyperlink37"/>
    <x:hyperlink ref="L39" r:id="rIdHyperlink38"/>
    <x:hyperlink ref="L40" r:id="rIdHyperlink39"/>
    <x:hyperlink ref="L41" r:id="rIdHyperlink40"/>
    <x:hyperlink ref="L42" r:id="rIdHyperlink41"/>
    <x:hyperlink ref="L43" r:id="rIdHyperlink42"/>
    <x:hyperlink ref="L44" r:id="rIdHyperlink43"/>
    <x:hyperlink ref="L45" r:id="rIdHyperlink44"/>
    <x:hyperlink ref="L46" r:id="rIdHyperlink45"/>
    <x:hyperlink ref="L47" r:id="rIdHyperlink46"/>
    <x:hyperlink ref="L48" r:id="rIdHyperlink47"/>
    <x:hyperlink ref="L49" r:id="rIdHyperlink48"/>
    <x:hyperlink ref="L50" r:id="rIdHyperlink49"/>
    <x:hyperlink ref="L51" r:id="rIdHyperlink50"/>
    <x:hyperlink ref="L52" r:id="rIdHyperlink51"/>
    <x:hyperlink ref="L53" r:id="rIdHyperlink52"/>
    <x:hyperlink ref="L54" r:id="rIdHyperlink53"/>
    <x:hyperlink ref="L55" r:id="rIdHyperlink54"/>
    <x:hyperlink ref="L56" r:id="rIdHyperlink55"/>
    <x:hyperlink ref="L57" r:id="rIdHyperlink56"/>
    <x:hyperlink ref="L58" r:id="rIdHyperlink57"/>
    <x:hyperlink ref="L59" r:id="rIdHyperlink58"/>
    <x:hyperlink ref="L60" r:id="rIdHyperlink59"/>
    <x:hyperlink ref="L61" r:id="rIdHyperlink60"/>
    <x:hyperlink ref="L62" r:id="rIdHyperlink61"/>
    <x:hyperlink ref="L63" r:id="rIdHyperlink62"/>
    <x:hyperlink ref="L64" r:id="rIdHyperlink63"/>
    <x:hyperlink ref="L65" r:id="rIdHyperlink64"/>
    <x:hyperlink ref="L66" r:id="rIdHyperlink65"/>
    <x:hyperlink ref="L67" r:id="rIdHyperlink66"/>
    <x:hyperlink ref="L68" r:id="rIdHyperlink67"/>
    <x:hyperlink ref="L69" r:id="rIdHyperlink68"/>
    <x:hyperlink ref="L70" r:id="rIdHyperlink69"/>
    <x:hyperlink ref="L71" r:id="rIdHyperlink70"/>
    <x:hyperlink ref="L72" r:id="rIdHyperlink71"/>
    <x:hyperlink ref="L73" r:id="rIdHyperlink72"/>
    <x:hyperlink ref="L74" r:id="rIdHyperlink73"/>
    <x:hyperlink ref="L75" r:id="rIdHyperlink74"/>
    <x:hyperlink ref="L76" r:id="rIdHyperlink75"/>
    <x:hyperlink ref="L77" r:id="rIdHyperlink76"/>
    <x:hyperlink ref="L78" r:id="rIdHyperlink77"/>
    <x:hyperlink ref="L79" r:id="rIdHyperlink78"/>
    <x:hyperlink ref="L80" r:id="rIdHyperlink79"/>
    <x:hyperlink ref="L81" r:id="rIdHyperlink80"/>
    <x:hyperlink ref="L82" r:id="rIdHyperlink81"/>
    <x:hyperlink ref="L83" r:id="rIdHyperlink82"/>
    <x:hyperlink ref="L84" r:id="rIdHyperlink83"/>
    <x:hyperlink ref="L85" r:id="rIdHyperlink84"/>
    <x:hyperlink ref="L86" r:id="rIdHyperlink85"/>
    <x:hyperlink ref="L87" r:id="rIdHyperlink86"/>
    <x:hyperlink ref="L88" r:id="rIdHyperlink87"/>
    <x:hyperlink ref="L89" r:id="rIdHyperlink88"/>
    <x:hyperlink ref="L90" r:id="rIdHyperlink89"/>
    <x:hyperlink ref="L91" r:id="rIdHyperlink90"/>
    <x:hyperlink ref="L92" r:id="rIdHyperlink91"/>
    <x:hyperlink ref="L93" r:id="rIdHyperlink92"/>
    <x:hyperlink ref="L94" r:id="rIdHyperlink93"/>
    <x:hyperlink ref="L95" r:id="rIdHyperlink94"/>
    <x:hyperlink ref="L96" r:id="rIdHyperlink95"/>
    <x:hyperlink ref="L97" r:id="rIdHyperlink96"/>
    <x:hyperlink ref="L98" r:id="rIdHyperlink97"/>
    <x:hyperlink ref="L99" r:id="rIdHyperlink98"/>
    <x:hyperlink ref="L100" r:id="rIdHyperlink99"/>
    <x:hyperlink ref="L101" r:id="rIdHyperlink100"/>
    <x:hyperlink ref="L102" r:id="rIdHyperlink101"/>
    <x:hyperlink ref="L103" r:id="rIdHyperlink102"/>
    <x:hyperlink ref="L104" r:id="rIdHyperlink103"/>
    <x:hyperlink ref="L105" r:id="rIdHyperlink104"/>
    <x:hyperlink ref="L106" r:id="rIdHyperlink105"/>
    <x:hyperlink ref="L107" r:id="rIdHyperlink106"/>
    <x:hyperlink ref="L108" r:id="rIdHyperlink107"/>
    <x:hyperlink ref="L109" r:id="rIdHyperlink108"/>
    <x:hyperlink ref="L110" r:id="rIdHyperlink109"/>
    <x:hyperlink ref="L111" r:id="rIdHyperlink110"/>
    <x:hyperlink ref="L112" r:id="rIdHyperlink111"/>
  </x:hyperlinks>
  <x:pageMargins left="0.7" right="0.7" top="0.75" bottom="0.75" header="0.3" footer="0.3"/>
  <x:tableParts count="1">
    <x:tablePart xmlns:r="http://schemas.openxmlformats.org/officeDocument/2006/relationships" r:id="Rb40e74572f8b4fdb"/>
  </x:tableParts>
</x:worksheet>
</file>

<file path=xl/worksheets/sheet4.xml><?xml version="1.0" encoding="utf-8"?>
<x:worksheet xmlns:x="http://schemas.openxmlformats.org/spreadsheetml/2006/main" xmlns:r="http://schemas.openxmlformats.org/officeDocument/2006/relationships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9.109999656677246" hidden="0" customWidth="1"/>
    <x:col min="2" max="2" width="23.329999923706055" hidden="0" customWidth="1"/>
    <x:col min="3" max="3" width="21.110000610351562" hidden="0" customWidth="1"/>
    <x:col min="4" max="4" width="10" hidden="0" customWidth="1"/>
    <x:col min="5" max="5" width="13.109999656677246" hidden="0" customWidth="1"/>
    <x:col min="6" max="6" width="13.109999656677246" hidden="0" customWidth="1"/>
    <x:col min="7" max="7" width="15.5600004196167" hidden="0" customWidth="1"/>
    <x:col min="8" max="8" width="28.889999389648438" hidden="0" customWidth="1"/>
    <x:col min="9" max="9" width="28.889999389648438" hidden="0" customWidth="1"/>
    <x:col min="10" max="10" width="16.670000076293945" hidden="0" customWidth="1"/>
    <x:col min="11" max="11" width="30" hidden="0" customWidth="1"/>
    <x:col min="12" max="12" width="10.5600004196167" hidden="0" customWidth="1"/>
    <x:col min="13" max="13" width="25.559999465942383" hidden="0" customWidth="1"/>
    <x:col min="14" max="14" width="13.890000343322754" hidden="0" customWidth="1"/>
    <x:col min="15" max="15" width="25.559999465942383" hidden="0" customWidth="1"/>
    <x:col min="16" max="16" width="33.33000183105469" hidden="0" customWidth="1"/>
    <x:col min="17" max="17" width="33.33000183105469" hidden="0" customWidth="1"/>
    <x:col min="18" max="18" width="34.439998626708984" hidden="0" customWidth="1"/>
  </x:cols>
  <x:sheetData>
    <x:row r="1" ht="33" customHeight="1">
      <x:c r="A1" s="135" t="str">
        <x:v>Family ID</x:v>
      </x:c>
      <x:c r="B1" s="135" t="str">
        <x:v>PTM family</x:v>
      </x:c>
      <x:c r="C1" s="135" t="str">
        <x:v>Primary chemistry class</x:v>
      </x:c>
      <x:c r="D1" s="135" t="str">
        <x:v>In denominator</x:v>
      </x:c>
      <x:c r="E1" s="135" t="str">
        <x:v>Dedicated resource ever</x:v>
      </x:c>
      <x:c r="F1" s="135" t="str">
        <x:v>Live dedicated resource</x:v>
      </x:c>
      <x:c r="G1" s="135" t="str">
        <x:v>Active, maintained resource</x:v>
      </x:c>
      <x:c r="H1" s="135" t="str">
        <x:v>Best current resource</x:v>
      </x:c>
      <x:c r="I1" s="135" t="str">
        <x:v>Resource class</x:v>
      </x:c>
      <x:c r="J1" s="135" t="str">
        <x:v>Resource status</x:v>
      </x:c>
      <x:c r="K1" s="135" t="str">
        <x:v>Experimental site evidence</x:v>
      </x:c>
      <x:c r="L1" s="135" t="str">
        <x:v>Count</x:v>
      </x:c>
      <x:c r="M1" s="135" t="str">
        <x:v>Count unit</x:v>
      </x:c>
      <x:c r="N1" s="135" t="str">
        <x:v>Count snapshot</x:v>
      </x:c>
      <x:c r="O1" s="135" t="str">
        <x:v>Coverage decision</x:v>
      </x:c>
      <x:c r="P1" s="135" t="str">
        <x:v>Search scope / date</x:v>
      </x:c>
      <x:c r="Q1" s="135" t="str">
        <x:v>Source URL</x:v>
      </x:c>
      <x:c r="R1" s="135" t="str">
        <x:v>Notes</x:v>
      </x:c>
    </x:row>
    <x:row r="2" ht="33" customHeight="1">
      <x:c r="A2" s="145" t="str">
        <x:v>ADJ001</x:v>
      </x:c>
      <x:c r="B2" s="146" t="str">
        <x:v>2-Hydroxyisobutyrylation</x:v>
      </x:c>
      <x:c r="C2" s="146" t="str">
        <x:v>Acylation and carbonyl additions</x:v>
      </x:c>
      <x:c r="D2" s="147" t="n">
        <x:v>1</x:v>
      </x:c>
      <x:c r="E2" s="147" t="n">
        <x:v>1</x:v>
      </x:c>
      <x:c r="F2" s="147" t="n">
        <x:v>1</x:v>
      </x:c>
      <x:c r="G2" s="147" t="n">
        <x:v>1</x:v>
      </x:c>
      <x:c r="H2" s="146" t="str">
        <x:v>CPLM 4.0</x:v>
      </x:c>
      <x:c r="I2" s="146" t="str">
        <x:v>current narrow multi-family experimental site database</x:v>
      </x:c>
      <x:c r="J2" s="147" t="str">
        <x:v>ACTIVE_MAINTAINED</x:v>
      </x:c>
      <x:c r="K2" s="146" t="str">
        <x:v>yes; underlying residue-level events/sites, while the type view reports proteins</x:v>
      </x:c>
      <x:c r="L2" s="167" t="n">
        <x:v>2527</x:v>
      </x:c>
      <x:c r="M2" s="146" t="str">
        <x:v>modified proteins in the CPLM type view</x:v>
      </x:c>
      <x:c r="N2" s="147" t="str">
        <x:v>2025-02-10</x:v>
      </x:c>
      <x:c r="O2" s="146" t="str">
        <x:v>ACTIVE_NARROW_MULTI_FAMILY_SITE_DB</x:v>
      </x:c>
      <x:c r="P2" s="146" t="str">
        <x:v>CPLM official live browse/type views and primary update paper; accessed 2026-08-14</x:v>
      </x:c>
      <x:c r="Q2" s="183" t="str">
        <x:v>https://cplm.biocuckoo.cn/Browse.php</x:v>
      </x:c>
      <x:c r="R2" s="146" t="str">
        <x:v>The displayed family number is proteins, not sites; do not add across types because a protein can carry multiple PTMs.</x:v>
      </x:c>
    </x:row>
    <x:row r="3" ht="33" customHeight="1">
      <x:c r="A3" s="157" t="str">
        <x:v>ADJ002</x:v>
      </x:c>
      <x:c r="B3" s="158" t="str">
        <x:v>3-Hydroxy-3-methylglutarylation</x:v>
      </x:c>
      <x:c r="C3" s="158" t="str">
        <x:v>Acylation and carbonyl additions</x:v>
      </x:c>
      <x:c r="D3" s="159" t="n">
        <x:v>1</x:v>
      </x:c>
      <x:c r="E3" s="159" t="n">
        <x:v>1</x:v>
      </x:c>
      <x:c r="F3" s="159" t="n">
        <x:v>1</x:v>
      </x:c>
      <x:c r="G3" s="159" t="n">
        <x:v>1</x:v>
      </x:c>
      <x:c r="H3" s="158" t="str">
        <x:v>CPLM 4.0</x:v>
      </x:c>
      <x:c r="I3" s="158" t="str">
        <x:v>current narrow multi-family experimental site database</x:v>
      </x:c>
      <x:c r="J3" s="159" t="str">
        <x:v>ACTIVE_MAINTAINED</x:v>
      </x:c>
      <x:c r="K3" s="158" t="str">
        <x:v>yes; underlying residue-level events/sites, while the type view reports proteins</x:v>
      </x:c>
      <x:c r="L3" s="170" t="n">
        <x:v>79</x:v>
      </x:c>
      <x:c r="M3" s="158" t="str">
        <x:v>modified proteins in the CPLM type view</x:v>
      </x:c>
      <x:c r="N3" s="159" t="str">
        <x:v>2025-02-10</x:v>
      </x:c>
      <x:c r="O3" s="158" t="str">
        <x:v>ACTIVE_NARROW_MULTI_FAMILY_SITE_DB</x:v>
      </x:c>
      <x:c r="P3" s="158" t="str">
        <x:v>CPLM official live browse/type views and primary update paper; accessed 2026-08-14</x:v>
      </x:c>
      <x:c r="Q3" s="184" t="str">
        <x:v>https://cplm.biocuckoo.cn/Browse.php</x:v>
      </x:c>
      <x:c r="R3" s="158" t="str">
        <x:v>The displayed family number is proteins, not sites; do not add across types because a protein can carry multiple PTMs.</x:v>
      </x:c>
    </x:row>
    <x:row r="4" ht="33" customHeight="1">
      <x:c r="A4" s="149" t="str">
        <x:v>ADJ003</x:v>
      </x:c>
      <x:c r="B4" s="150" t="str">
        <x:v>3-Methylglutaconylation</x:v>
      </x:c>
      <x:c r="C4" s="150" t="str">
        <x:v>Acylation and carbonyl additions</x:v>
      </x:c>
      <x:c r="D4" s="151" t="n">
        <x:v>1</x:v>
      </x:c>
      <x:c r="E4" s="151" t="n">
        <x:v>1</x:v>
      </x:c>
      <x:c r="F4" s="151" t="n">
        <x:v>1</x:v>
      </x:c>
      <x:c r="G4" s="151" t="n">
        <x:v>1</x:v>
      </x:c>
      <x:c r="H4" s="150" t="str">
        <x:v>CPLM 4.0</x:v>
      </x:c>
      <x:c r="I4" s="150" t="str">
        <x:v>current narrow multi-family experimental site database</x:v>
      </x:c>
      <x:c r="J4" s="151" t="str">
        <x:v>ACTIVE_MAINTAINED</x:v>
      </x:c>
      <x:c r="K4" s="150" t="str">
        <x:v>yes; underlying residue-level events/sites, while the type view reports proteins</x:v>
      </x:c>
      <x:c r="L4" s="168" t="n">
        <x:v>20</x:v>
      </x:c>
      <x:c r="M4" s="150" t="str">
        <x:v>modified proteins in the CPLM type view</x:v>
      </x:c>
      <x:c r="N4" s="151" t="str">
        <x:v>2025-02-10</x:v>
      </x:c>
      <x:c r="O4" s="150" t="str">
        <x:v>ACTIVE_NARROW_MULTI_FAMILY_SITE_DB</x:v>
      </x:c>
      <x:c r="P4" s="150" t="str">
        <x:v>CPLM official live browse/type views and primary update paper; accessed 2026-08-14</x:v>
      </x:c>
      <x:c r="Q4" s="185" t="str">
        <x:v>https://cplm.biocuckoo.cn/Browse.php</x:v>
      </x:c>
      <x:c r="R4" s="150" t="str">
        <x:v>The displayed family number is proteins, not sites; do not add across types because a protein can carry multiple PTMs.</x:v>
      </x:c>
    </x:row>
    <x:row r="5" ht="33" customHeight="1">
      <x:c r="A5" s="157" t="str">
        <x:v>ADJ004</x:v>
      </x:c>
      <x:c r="B5" s="158" t="str">
        <x:v>3-Methylglutarylation</x:v>
      </x:c>
      <x:c r="C5" s="158" t="str">
        <x:v>Acylation and carbonyl additions</x:v>
      </x:c>
      <x:c r="D5" s="159" t="n">
        <x:v>1</x:v>
      </x:c>
      <x:c r="E5" s="159" t="n">
        <x:v>1</x:v>
      </x:c>
      <x:c r="F5" s="159" t="n">
        <x:v>1</x:v>
      </x:c>
      <x:c r="G5" s="159" t="n">
        <x:v>1</x:v>
      </x:c>
      <x:c r="H5" s="158" t="str">
        <x:v>CPLM 4.0</x:v>
      </x:c>
      <x:c r="I5" s="158" t="str">
        <x:v>current narrow multi-family experimental site database</x:v>
      </x:c>
      <x:c r="J5" s="159" t="str">
        <x:v>ACTIVE_MAINTAINED</x:v>
      </x:c>
      <x:c r="K5" s="158" t="str">
        <x:v>yes; underlying residue-level events/sites, while the type view reports proteins</x:v>
      </x:c>
      <x:c r="L5" s="170" t="n">
        <x:v>16</x:v>
      </x:c>
      <x:c r="M5" s="158" t="str">
        <x:v>modified proteins in the CPLM type view</x:v>
      </x:c>
      <x:c r="N5" s="159" t="str">
        <x:v>2025-02-10</x:v>
      </x:c>
      <x:c r="O5" s="158" t="str">
        <x:v>ACTIVE_NARROW_MULTI_FAMILY_SITE_DB</x:v>
      </x:c>
      <x:c r="P5" s="158" t="str">
        <x:v>CPLM official live browse/type views and primary update paper; accessed 2026-08-14</x:v>
      </x:c>
      <x:c r="Q5" s="184" t="str">
        <x:v>https://cplm.biocuckoo.cn/Browse.php</x:v>
      </x:c>
      <x:c r="R5" s="158" t="str">
        <x:v>The displayed family number is proteins, not sites; do not add across types because a protein can carry multiple PTMs.</x:v>
      </x:c>
    </x:row>
    <x:row r="6" ht="33" customHeight="1">
      <x:c r="A6" s="149" t="str">
        <x:v>ADJ005</x:v>
      </x:c>
      <x:c r="B6" s="150" t="str">
        <x:v>Acetoacetylation</x:v>
      </x:c>
      <x:c r="C6" s="150" t="str">
        <x:v>Acylation and carbonyl additions</x:v>
      </x:c>
      <x:c r="D6" s="151" t="n">
        <x:v>1</x:v>
      </x:c>
      <x:c r="E6" s="151" t="n">
        <x:v>0</x:v>
      </x:c>
      <x:c r="F6" s="151" t="n">
        <x:v>0</x:v>
      </x:c>
      <x:c r="G6" s="151" t="n">
        <x:v>0</x:v>
      </x:c>
      <x:c r="H6" s="150" t="str">
        <x:v>2026 eLife family-specific proteome-scale primary study</x:v>
      </x:c>
      <x:c r="I6" s="150" t="str">
        <x:v>recent family-specific site dataset; not a maintained database</x:v>
      </x:c>
      <x:c r="J6" s="151" t="str">
        <x:v>SITE_DATASET</x:v>
      </x:c>
      <x:c r="K6" s="150" t="str">
        <x:v>yes</x:v>
      </x:c>
      <x:c r="L6" s="168" t="n">
        <x:v>139</x:v>
      </x:c>
      <x:c r="M6" s="150" t="str">
        <x:v>unique lysine acetoacetylation sites across 85 human proteins</x:v>
      </x:c>
      <x:c r="N6" s="151" t="str">
        <x:v>2026 eLife version of record</x:v>
      </x:c>
      <x:c r="O6" s="150" t="str">
        <x:v>SITE_DATASET_ONLY_NO_DATABASE</x:v>
      </x:c>
      <x:c r="P6" s="150" t="str">
        <x:v>Official dedicated-resource names, dbPTM/UniProt/ProteomeScout cross-checks, and primary-paper search; completed 2026-08-14</x:v>
      </x:c>
      <x:c r="Q6" s="185" t="str">
        <x:v>https://doi.org/10.7554/eLife.104123 | https://pmc.ncbi.nlm.nih.gov/articles/PMC13175576/</x:v>
      </x:c>
      <x:c r="R6" s="150" t="str">
        <x:v>The 2026 study reports 139 unique Kacac sites across 85 proteins. No maintained dedicated acetoacetylation database was found.</x:v>
      </x:c>
    </x:row>
    <x:row r="7" ht="33" customHeight="1">
      <x:c r="A7" s="157" t="str">
        <x:v>ADJ006</x:v>
      </x:c>
      <x:c r="B7" s="158" t="str">
        <x:v>Acetyl-methylation</x:v>
      </x:c>
      <x:c r="C7" s="158" t="str">
        <x:v>Acylation and carbonyl additions</x:v>
      </x:c>
      <x:c r="D7" s="159" t="n">
        <x:v>1</x:v>
      </x:c>
      <x:c r="E7" s="159" t="n">
        <x:v>0</x:v>
      </x:c>
      <x:c r="F7" s="159" t="n">
        <x:v>0</x:v>
      </x:c>
      <x:c r="G7" s="159" t="n">
        <x:v>0</x:v>
      </x:c>
      <x:c r="H7" s="158" t="str">
        <x:v>ProteomeScout current TSV and primary MSV000087982 study</x:v>
      </x:c>
      <x:c r="I7" s="158" t="str">
        <x:v>general integrator plus family-specific study; no dedicated database</x:v>
      </x:c>
      <x:c r="J7" s="159" t="str">
        <x:v>GENERAL_INTEGRATOR_ONLY</x:v>
      </x:c>
      <x:c r="K7" s="158" t="str">
        <x:v>yes</x:v>
      </x:c>
      <x:c r="L7" s="170" t="n">
        <x:v>12</x:v>
      </x:c>
      <x:c r="M7" s="158" t="str">
        <x:v>N6-acetyl-N6-methyllysine annotation records</x:v>
      </x:c>
      <x:c r="N7" s="159" t="str">
        <x:v>ProteomeScout TSV 2026-06-02</x:v>
      </x:c>
      <x:c r="O7" s="158" t="str">
        <x:v>GENERAL_INTEGRATOR_ONLY_NO_DEDICATED_DB</x:v>
      </x:c>
      <x:c r="P7" s="158" t="str">
        <x:v>Exact family term plus database, atlas, repository and site-resource searches; dbPTM, ProteomeScout, UniProt and primary literature cross-check; completed 2026-08-14</x:v>
      </x:c>
      <x:c r="Q7" s="184" t="str">
        <x:v>https://proteomescout.research.virginia.edu/downloads | https://pmc.ncbi.nlm.nih.gov/articles/PMC10845139/</x:v>
      </x:c>
      <x:c r="R7" s="158" t="str">
        <x:v>NR means not reported or no dedicated-resource denominator; it does not mean zero biological sites.</x:v>
      </x:c>
    </x:row>
    <x:row r="8" ht="33" customHeight="1">
      <x:c r="A8" s="149" t="str">
        <x:v>ADJ007</x:v>
      </x:c>
      <x:c r="B8" s="150" t="str">
        <x:v>Acetylation</x:v>
      </x:c>
      <x:c r="C8" s="150" t="str">
        <x:v>Acylation and carbonyl additions</x:v>
      </x:c>
      <x:c r="D8" s="151" t="n">
        <x:v>1</x:v>
      </x:c>
      <x:c r="E8" s="151" t="n">
        <x:v>1</x:v>
      </x:c>
      <x:c r="F8" s="151" t="n">
        <x:v>1</x:v>
      </x:c>
      <x:c r="G8" s="151" t="n">
        <x:v>1</x:v>
      </x:c>
      <x:c r="H8" s="150" t="str">
        <x:v>CPLM 4.0</x:v>
      </x:c>
      <x:c r="I8" s="150" t="str">
        <x:v>current narrow multi-family experimental site database</x:v>
      </x:c>
      <x:c r="J8" s="151" t="str">
        <x:v>ACTIVE_MAINTAINED</x:v>
      </x:c>
      <x:c r="K8" s="150" t="str">
        <x:v>yes; underlying residue-level events/sites, while the type view reports proteins</x:v>
      </x:c>
      <x:c r="L8" s="168" t="n">
        <x:v>67708</x:v>
      </x:c>
      <x:c r="M8" s="150" t="str">
        <x:v>modified proteins in the CPLM type view</x:v>
      </x:c>
      <x:c r="N8" s="151" t="str">
        <x:v>2025-02-10</x:v>
      </x:c>
      <x:c r="O8" s="150" t="str">
        <x:v>ACTIVE_NARROW_MULTI_FAMILY_SITE_DB</x:v>
      </x:c>
      <x:c r="P8" s="150" t="str">
        <x:v>CPLM official live browse/type views and primary update paper; accessed 2026-08-14</x:v>
      </x:c>
      <x:c r="Q8" s="185" t="str">
        <x:v>https://cplm.biocuckoo.cn/Browse.php</x:v>
      </x:c>
      <x:c r="R8" s="150" t="str">
        <x:v>The displayed family number is proteins, not sites; do not add across types because a protein can carry multiple PTMs.</x:v>
      </x:c>
    </x:row>
    <x:row r="9" ht="33" customHeight="1">
      <x:c r="A9" s="157" t="str">
        <x:v>ADJ008</x:v>
      </x:c>
      <x:c r="B9" s="158" t="str">
        <x:v>Benzoylation</x:v>
      </x:c>
      <x:c r="C9" s="158" t="str">
        <x:v>Acylation and carbonyl additions</x:v>
      </x:c>
      <x:c r="D9" s="159" t="n">
        <x:v>1</x:v>
      </x:c>
      <x:c r="E9" s="159" t="n">
        <x:v>1</x:v>
      </x:c>
      <x:c r="F9" s="159" t="n">
        <x:v>1</x:v>
      </x:c>
      <x:c r="G9" s="159" t="n">
        <x:v>1</x:v>
      </x:c>
      <x:c r="H9" s="158" t="str">
        <x:v>CPLM 4.0</x:v>
      </x:c>
      <x:c r="I9" s="158" t="str">
        <x:v>current narrow multi-family experimental site database</x:v>
      </x:c>
      <x:c r="J9" s="159" t="str">
        <x:v>ACTIVE_MAINTAINED</x:v>
      </x:c>
      <x:c r="K9" s="158" t="str">
        <x:v>yes; underlying residue-level events/sites, while the type view reports proteins</x:v>
      </x:c>
      <x:c r="L9" s="170" t="n">
        <x:v>5</x:v>
      </x:c>
      <x:c r="M9" s="158" t="str">
        <x:v>modified proteins in the CPLM type view</x:v>
      </x:c>
      <x:c r="N9" s="159" t="str">
        <x:v>2025-02-10</x:v>
      </x:c>
      <x:c r="O9" s="158" t="str">
        <x:v>ACTIVE_NARROW_MULTI_FAMILY_SITE_DB</x:v>
      </x:c>
      <x:c r="P9" s="158" t="str">
        <x:v>CPLM official live browse/type views and primary update paper; accessed 2026-08-14</x:v>
      </x:c>
      <x:c r="Q9" s="184" t="str">
        <x:v>https://cplm.biocuckoo.cn/Browse.php</x:v>
      </x:c>
      <x:c r="R9" s="158" t="str">
        <x:v>The displayed family number is proteins, not sites; do not add across types because a protein can carry multiple PTMs.</x:v>
      </x:c>
    </x:row>
    <x:row r="10" ht="33" customHeight="1">
      <x:c r="A10" s="149" t="str">
        <x:v>ADJ009</x:v>
      </x:c>
      <x:c r="B10" s="150" t="str">
        <x:v>Beta-hydroxybutyrylation</x:v>
      </x:c>
      <x:c r="C10" s="150" t="str">
        <x:v>Acylation and carbonyl additions</x:v>
      </x:c>
      <x:c r="D10" s="151" t="n">
        <x:v>1</x:v>
      </x:c>
      <x:c r="E10" s="151" t="n">
        <x:v>1</x:v>
      </x:c>
      <x:c r="F10" s="151" t="n">
        <x:v>1</x:v>
      </x:c>
      <x:c r="G10" s="151" t="n">
        <x:v>1</x:v>
      </x:c>
      <x:c r="H10" s="150" t="str">
        <x:v>CPLM 4.0</x:v>
      </x:c>
      <x:c r="I10" s="150" t="str">
        <x:v>current narrow multi-family experimental site database</x:v>
      </x:c>
      <x:c r="J10" s="151" t="str">
        <x:v>ACTIVE_MAINTAINED</x:v>
      </x:c>
      <x:c r="K10" s="150" t="str">
        <x:v>yes; underlying residue-level events/sites, while the type view reports proteins</x:v>
      </x:c>
      <x:c r="L10" s="168" t="n">
        <x:v>1403</x:v>
      </x:c>
      <x:c r="M10" s="150" t="str">
        <x:v>modified proteins in the CPLM type view</x:v>
      </x:c>
      <x:c r="N10" s="151" t="str">
        <x:v>2025-02-10</x:v>
      </x:c>
      <x:c r="O10" s="150" t="str">
        <x:v>ACTIVE_NARROW_MULTI_FAMILY_SITE_DB</x:v>
      </x:c>
      <x:c r="P10" s="150" t="str">
        <x:v>CPLM official live browse/type views and primary update paper; accessed 2026-08-14</x:v>
      </x:c>
      <x:c r="Q10" s="185" t="str">
        <x:v>https://cplm.biocuckoo.cn/Browse.php</x:v>
      </x:c>
      <x:c r="R10" s="150" t="str">
        <x:v>The displayed family number is proteins, not sites; do not add across types because a protein can carry multiple PTMs.</x:v>
      </x:c>
    </x:row>
    <x:row r="11" ht="33" customHeight="1">
      <x:c r="A11" s="157" t="str">
        <x:v>ADJ010</x:v>
      </x:c>
      <x:c r="B11" s="158" t="str">
        <x:v>Butyryl/isobutyryl lysine acylation</x:v>
      </x:c>
      <x:c r="C11" s="158" t="str">
        <x:v>Acylation and carbonyl additions</x:v>
      </x:c>
      <x:c r="D11" s="159" t="n">
        <x:v>1</x:v>
      </x:c>
      <x:c r="E11" s="159" t="n">
        <x:v>1</x:v>
      </x:c>
      <x:c r="F11" s="159" t="n">
        <x:v>1</x:v>
      </x:c>
      <x:c r="G11" s="159" t="n">
        <x:v>1</x:v>
      </x:c>
      <x:c r="H11" s="158" t="str">
        <x:v>CPLM 4.0 (n-butyrylation child)</x:v>
      </x:c>
      <x:c r="I11" s="158" t="str">
        <x:v>current narrow multi-family experimental site database</x:v>
      </x:c>
      <x:c r="J11" s="159" t="str">
        <x:v>ACTIVE_MAINTAINED_PARTIAL_SUBTYPE</x:v>
      </x:c>
      <x:c r="K11" s="158" t="str">
        <x:v>yes for n-butyrylation; isobutyrylation has primary evidence but no dedicated site resource</x:v>
      </x:c>
      <x:c r="L11" s="170" t="n">
        <x:v>586</x:v>
      </x:c>
      <x:c r="M11" s="158" t="str">
        <x:v>modified proteins in the CPLM type view</x:v>
      </x:c>
      <x:c r="N11" s="159" t="str">
        <x:v>2025-02-10</x:v>
      </x:c>
      <x:c r="O11" s="158" t="str">
        <x:v>ACTIVE_NARROW_MULTI_FAMILY_DB_PARTIAL_CHILD</x:v>
      </x:c>
      <x:c r="P11" s="158" t="str">
        <x:v>CPLM official type view plus exact isobutyrylation resource search; accessed 2026-08-14</x:v>
      </x:c>
      <x:c r="Q11" s="184" t="str">
        <x:v>https://cplm.biocuckoo.cn/Browse.php</x:v>
      </x:c>
      <x:c r="R11" s="158" t="str">
        <x:v>Positive mapping is partial: CPLM reports 586 proteins for the n-butyrylation child; the merged isobutyrylation child has no dedicated resource.</x:v>
      </x:c>
    </x:row>
    <x:row r="12" ht="33" customHeight="1">
      <x:c r="A12" s="149" t="str">
        <x:v>ADJ011</x:v>
      </x:c>
      <x:c r="B12" s="150" t="str">
        <x:v>Crotonylation</x:v>
      </x:c>
      <x:c r="C12" s="150" t="str">
        <x:v>Acylation and carbonyl additions</x:v>
      </x:c>
      <x:c r="D12" s="151" t="n">
        <x:v>1</x:v>
      </x:c>
      <x:c r="E12" s="151" t="n">
        <x:v>1</x:v>
      </x:c>
      <x:c r="F12" s="151" t="n">
        <x:v>1</x:v>
      </x:c>
      <x:c r="G12" s="151" t="n">
        <x:v>1</x:v>
      </x:c>
      <x:c r="H12" s="150" t="str">
        <x:v>CPLM 4.0</x:v>
      </x:c>
      <x:c r="I12" s="150" t="str">
        <x:v>current narrow multi-family experimental site database</x:v>
      </x:c>
      <x:c r="J12" s="151" t="str">
        <x:v>ACTIVE_MAINTAINED</x:v>
      </x:c>
      <x:c r="K12" s="150" t="str">
        <x:v>yes; underlying residue-level events/sites, while the type view reports proteins</x:v>
      </x:c>
      <x:c r="L12" s="168" t="n">
        <x:v>6098</x:v>
      </x:c>
      <x:c r="M12" s="150" t="str">
        <x:v>modified proteins in the CPLM type view</x:v>
      </x:c>
      <x:c r="N12" s="151" t="str">
        <x:v>2025-02-10</x:v>
      </x:c>
      <x:c r="O12" s="150" t="str">
        <x:v>ACTIVE_NARROW_MULTI_FAMILY_SITE_DB</x:v>
      </x:c>
      <x:c r="P12" s="150" t="str">
        <x:v>CPLM official live browse/type views and primary update paper; accessed 2026-08-14</x:v>
      </x:c>
      <x:c r="Q12" s="185" t="str">
        <x:v>https://cplm.biocuckoo.cn/Browse.php</x:v>
      </x:c>
      <x:c r="R12" s="150" t="str">
        <x:v>The displayed family number is proteins, not sites; do not add across types because a protein can carry multiple PTMs.</x:v>
      </x:c>
    </x:row>
    <x:row r="13" ht="33" customHeight="1">
      <x:c r="A13" s="157" t="str">
        <x:v>ADJ012</x:v>
      </x:c>
      <x:c r="B13" s="158" t="str">
        <x:v>Formylation</x:v>
      </x:c>
      <x:c r="C13" s="158" t="str">
        <x:v>Acylation and carbonyl additions</x:v>
      </x:c>
      <x:c r="D13" s="159" t="n">
        <x:v>1</x:v>
      </x:c>
      <x:c r="E13" s="159" t="n">
        <x:v>1</x:v>
      </x:c>
      <x:c r="F13" s="159" t="n">
        <x:v>1</x:v>
      </x:c>
      <x:c r="G13" s="159" t="n">
        <x:v>1</x:v>
      </x:c>
      <x:c r="H13" s="158" t="str">
        <x:v>CPLM 4.0</x:v>
      </x:c>
      <x:c r="I13" s="158" t="str">
        <x:v>current narrow multi-family experimental site database</x:v>
      </x:c>
      <x:c r="J13" s="159" t="str">
        <x:v>ACTIVE_MAINTAINED</x:v>
      </x:c>
      <x:c r="K13" s="158" t="str">
        <x:v>yes; underlying residue-level events/sites, while the type view reports proteins</x:v>
      </x:c>
      <x:c r="L13" s="170" t="n">
        <x:v>97</x:v>
      </x:c>
      <x:c r="M13" s="158" t="str">
        <x:v>modified proteins in the CPLM type view</x:v>
      </x:c>
      <x:c r="N13" s="159" t="str">
        <x:v>2025-02-10</x:v>
      </x:c>
      <x:c r="O13" s="158" t="str">
        <x:v>ACTIVE_NARROW_MULTI_FAMILY_SITE_DB</x:v>
      </x:c>
      <x:c r="P13" s="158" t="str">
        <x:v>CPLM official live browse/type views and primary update paper; accessed 2026-08-14</x:v>
      </x:c>
      <x:c r="Q13" s="184" t="str">
        <x:v>https://cplm.biocuckoo.cn/Browse.php</x:v>
      </x:c>
      <x:c r="R13" s="158" t="str">
        <x:v>The displayed family number is proteins, not sites; do not add across types because a protein can carry multiple PTMs.</x:v>
      </x:c>
    </x:row>
    <x:row r="14" ht="33" customHeight="1">
      <x:c r="A14" s="149" t="str">
        <x:v>ADJ013</x:v>
      </x:c>
      <x:c r="B14" s="150" t="str">
        <x:v>Glutarylation</x:v>
      </x:c>
      <x:c r="C14" s="150" t="str">
        <x:v>Acylation and carbonyl additions</x:v>
      </x:c>
      <x:c r="D14" s="151" t="n">
        <x:v>1</x:v>
      </x:c>
      <x:c r="E14" s="151" t="n">
        <x:v>1</x:v>
      </x:c>
      <x:c r="F14" s="151" t="n">
        <x:v>1</x:v>
      </x:c>
      <x:c r="G14" s="151" t="n">
        <x:v>1</x:v>
      </x:c>
      <x:c r="H14" s="150" t="str">
        <x:v>CPLM 4.0</x:v>
      </x:c>
      <x:c r="I14" s="150" t="str">
        <x:v>current narrow multi-family experimental site database</x:v>
      </x:c>
      <x:c r="J14" s="151" t="str">
        <x:v>ACTIVE_MAINTAINED</x:v>
      </x:c>
      <x:c r="K14" s="150" t="str">
        <x:v>yes; underlying residue-level events/sites, while the type view reports proteins</x:v>
      </x:c>
      <x:c r="L14" s="168" t="n">
        <x:v>365</x:v>
      </x:c>
      <x:c r="M14" s="150" t="str">
        <x:v>modified proteins in the CPLM type view</x:v>
      </x:c>
      <x:c r="N14" s="151" t="str">
        <x:v>2025-02-10</x:v>
      </x:c>
      <x:c r="O14" s="150" t="str">
        <x:v>ACTIVE_NARROW_MULTI_FAMILY_SITE_DB</x:v>
      </x:c>
      <x:c r="P14" s="150" t="str">
        <x:v>CPLM official live browse/type views and primary update paper; accessed 2026-08-14</x:v>
      </x:c>
      <x:c r="Q14" s="185" t="str">
        <x:v>https://cplm.biocuckoo.cn/Browse.php</x:v>
      </x:c>
      <x:c r="R14" s="150" t="str">
        <x:v>The displayed family number is proteins, not sites; do not add across types because a protein can carry multiple PTMs.</x:v>
      </x:c>
    </x:row>
    <x:row r="15" ht="33" customHeight="1">
      <x:c r="A15" s="157" t="str">
        <x:v>ADJ014</x:v>
      </x:c>
      <x:c r="B15" s="158" t="str">
        <x:v>Isonicotinylation</x:v>
      </x:c>
      <x:c r="C15" s="158" t="str">
        <x:v>Acylation and carbonyl additions</x:v>
      </x:c>
      <x:c r="D15" s="159" t="n">
        <x:v>1</x:v>
      </x:c>
      <x:c r="E15" s="159" t="n">
        <x:v>0</x:v>
      </x:c>
      <x:c r="F15" s="159" t="n">
        <x:v>0</x:v>
      </x:c>
      <x:c r="G15" s="159" t="n">
        <x:v>0</x:v>
      </x:c>
      <x:c r="H15" s="158" t="str">
        <x:v>ProteomeXchange PXD050143</x:v>
      </x:c>
      <x:c r="I15" s="158" t="str">
        <x:v>family-specific experimental site dataset; not a maintained database</x:v>
      </x:c>
      <x:c r="J15" s="159" t="str">
        <x:v>SITE_DATASET_ONLY</x:v>
      </x:c>
      <x:c r="K15" s="158" t="str">
        <x:v>yes</x:v>
      </x:c>
      <x:c r="L15" s="170" t="n">
        <x:v>11442</x:v>
      </x:c>
      <x:c r="M15" s="158" t="str">
        <x:v>reported isonicotinylation sites on 2,792 human proteins</x:v>
      </x:c>
      <x:c r="N15" s="159" t="str">
        <x:v>dataset revision 2024-10-22</x:v>
      </x:c>
      <x:c r="O15" s="158" t="str">
        <x:v>FAMILY_STUDY_DATASET_NO_MAINTAINED_DB</x:v>
      </x:c>
      <x:c r="P15" s="158" t="str">
        <x:v>Exact family term plus database, atlas, repository and site-resource searches; dbPTM, ProteomeScout, UniProt and primary literature cross-check; completed 2026-08-14</x:v>
      </x:c>
      <x:c r="Q15" s="184" t="str">
        <x:v>https://proteomecentral.proteomexchange.org/cgi/GetDataset?ID=PXD050143</x:v>
      </x:c>
      <x:c r="R15" s="158" t="str">
        <x:v>Submitter-reported dataset count; not independently curated database coverage.</x:v>
      </x:c>
    </x:row>
    <x:row r="16" ht="33" customHeight="1">
      <x:c r="A16" s="149" t="str">
        <x:v>ADJ015</x:v>
      </x:c>
      <x:c r="B16" s="150" t="str">
        <x:v>Itaconylation</x:v>
      </x:c>
      <x:c r="C16" s="150" t="str">
        <x:v>Acylation and carbonyl additions</x:v>
      </x:c>
      <x:c r="D16" s="151" t="n">
        <x:v>1</x:v>
      </x:c>
      <x:c r="E16" s="151" t="n">
        <x:v>0</x:v>
      </x:c>
      <x:c r="F16" s="151" t="n">
        <x:v>0</x:v>
      </x:c>
      <x:c r="G16" s="151" t="n">
        <x:v>0</x:v>
      </x:c>
      <x:c r="H16" s="150" t="str">
        <x:v>primary lysine-itaconylation proteome dataset</x:v>
      </x:c>
      <x:c r="I16" s="150" t="str">
        <x:v>family-specific experimental site dataset; not a maintained database</x:v>
      </x:c>
      <x:c r="J16" s="151" t="str">
        <x:v>SITE_DATASET_ONLY</x:v>
      </x:c>
      <x:c r="K16" s="150" t="str">
        <x:v>yes</x:v>
      </x:c>
      <x:c r="L16" s="168" t="n">
        <x:v>279</x:v>
      </x:c>
      <x:c r="M16" s="150" t="str">
        <x:v>sites identified in at least two of three treated samples</x:v>
      </x:c>
      <x:c r="N16" s="151" t="str">
        <x:v>2023 publication</x:v>
      </x:c>
      <x:c r="O16" s="150" t="str">
        <x:v>FAMILY_STUDY_DATASET_NO_MAINTAINED_DB</x:v>
      </x:c>
      <x:c r="P16" s="150" t="str">
        <x:v>Exact family term plus database, atlas, repository and site-resource searches; dbPTM, ProteomeScout, UniProt and primary literature cross-check; completed 2026-08-14</x:v>
      </x:c>
      <x:c r="Q16" s="185" t="str">
        <x:v>https://pubs.acs.org/doi/10.1021/jacs.3c02332</x:v>
      </x:c>
      <x:c r="R16" s="150" t="str">
        <x:v>NR means not reported or no dedicated-resource denominator; it does not mean zero biological sites.</x:v>
      </x:c>
    </x:row>
    <x:row r="17" ht="33" customHeight="1">
      <x:c r="A17" s="157" t="str">
        <x:v>ADJ016</x:v>
      </x:c>
      <x:c r="B17" s="158" t="str">
        <x:v>Lactylation</x:v>
      </x:c>
      <x:c r="C17" s="158" t="str">
        <x:v>Acylation and carbonyl additions</x:v>
      </x:c>
      <x:c r="D17" s="159" t="n">
        <x:v>1</x:v>
      </x:c>
      <x:c r="E17" s="159" t="n">
        <x:v>1</x:v>
      </x:c>
      <x:c r="F17" s="159" t="n">
        <x:v>1</x:v>
      </x:c>
      <x:c r="G17" s="159" t="n">
        <x:v>1</x:v>
      </x:c>
      <x:c r="H17" s="158" t="str">
        <x:v>KlaDB</x:v>
      </x:c>
      <x:c r="I17" s="158" t="str">
        <x:v>current dedicated experimental site database</x:v>
      </x:c>
      <x:c r="J17" s="159" t="str">
        <x:v>ACTIVE_MAINTAINED</x:v>
      </x:c>
      <x:c r="K17" s="158" t="str">
        <x:v>yes</x:v>
      </x:c>
      <x:c r="L17" s="170" t="n">
        <x:v>64072</x:v>
      </x:c>
      <x:c r="M17" s="158" t="str">
        <x:v>experimentally validated lactylation sites</x:v>
      </x:c>
      <x:c r="N17" s="159" t="str">
        <x:v>2026-06-24</x:v>
      </x:c>
      <x:c r="O17" s="158" t="str">
        <x:v>ACTIVE_DEDICATED_SITE_DB</x:v>
      </x:c>
      <x:c r="P17" s="158" t="str">
        <x:v>KlaDB official site and release summary; accessed 2026-08-14</x:v>
      </x:c>
      <x:c r="Q17" s="184" t="str">
        <x:v>https://kladb.wuxl-group.com/</x:v>
      </x:c>
      <x:c r="R17" s="158" t="str">
        <x:v>Nine-species site total; newer and much larger than the older CPLM lactylation subset.</x:v>
      </x:c>
    </x:row>
    <x:row r="18" ht="33" customHeight="1">
      <x:c r="A18" s="149" t="str">
        <x:v>ADJ017</x:v>
      </x:c>
      <x:c r="B18" s="150" t="str">
        <x:v>Lysine phenylacetylation</x:v>
      </x:c>
      <x:c r="C18" s="150" t="str">
        <x:v>Acylation and carbonyl additions</x:v>
      </x:c>
      <x:c r="D18" s="151" t="n">
        <x:v>1</x:v>
      </x:c>
      <x:c r="E18" s="151" t="n">
        <x:v>0</x:v>
      </x:c>
      <x:c r="F18" s="151" t="n">
        <x:v>0</x:v>
      </x:c>
      <x:c r="G18" s="151" t="n">
        <x:v>0</x:v>
      </x:c>
      <x:c r="H18" s="150" t="str">
        <x:v>2026 Cell Metabolism primary proteomics dataset (iProX IPX0010608001)</x:v>
      </x:c>
      <x:c r="I18" s="150" t="str">
        <x:v>family-specific primary study dataset; not a maintained database</x:v>
      </x:c>
      <x:c r="J18" s="151" t="str">
        <x:v>PRIMARY_DATASET_ONLY</x:v>
      </x:c>
      <x:c r="K18" s="150" t="str">
        <x:v>yes; proteome-wide Kpaa sites reported</x:v>
      </x:c>
      <x:c r="L18" s="168" t="str">
        <x:v>NR</x:v>
      </x:c>
      <x:c r="M18" s="150" t="str">
        <x:v>no exact family-level count in a dedicated resource</x:v>
      </x:c>
      <x:c r="N18" s="151" t="str">
        <x:v>search completed 2026-08-14</x:v>
      </x:c>
      <x:c r="O18" s="150" t="str">
        <x:v>NEW_FAMILY_STUDY_DATASET_NO_DEDICATED_DB</x:v>
      </x:c>
      <x:c r="P18" s="150" t="str">
        <x:v>Exact family term plus database, atlas, repository and site-resource searches; dbPTM, ProteomeScout, UniProt and primary literature cross-check; completed 2026-08-14</x:v>
      </x:c>
      <x:c r="Q18" s="185" t="str">
        <x:v>https://doi.org/10.1016/j.cmet.2026.05.016</x:v>
      </x:c>
      <x:c r="R18" s="150" t="str">
        <x:v>Recent 2026 family; targeted database search found the study dataset but no maintained dedicated site resource.</x:v>
      </x:c>
    </x:row>
    <x:row r="19" ht="33" customHeight="1">
      <x:c r="A19" s="157" t="str">
        <x:v>ADJ018</x:v>
      </x:c>
      <x:c r="B19" s="158" t="str">
        <x:v>Lysine pyruvylation</x:v>
      </x:c>
      <x:c r="C19" s="158" t="str">
        <x:v>Acylation and carbonyl additions</x:v>
      </x:c>
      <x:c r="D19" s="159" t="n">
        <x:v>1</x:v>
      </x:c>
      <x:c r="E19" s="159" t="n">
        <x:v>0</x:v>
      </x:c>
      <x:c r="F19" s="159" t="n">
        <x:v>0</x:v>
      </x:c>
      <x:c r="G19" s="159" t="n">
        <x:v>0</x:v>
      </x:c>
      <x:c r="H19" s="158" t="str">
        <x:v>2026 Nature Metabolism study and ProteomeXchange PXD072283</x:v>
      </x:c>
      <x:c r="I19" s="158" t="str">
        <x:v>family-specific primary study dataset; not a maintained database</x:v>
      </x:c>
      <x:c r="J19" s="159" t="str">
        <x:v>PRIMARY_DATASET_ONLY</x:v>
      </x:c>
      <x:c r="K19" s="158" t="str">
        <x:v>yes</x:v>
      </x:c>
      <x:c r="L19" s="170" t="n">
        <x:v>88</x:v>
      </x:c>
      <x:c r="M19" s="158" t="str">
        <x:v>mammalian Kpy sites in the primary study</x:v>
      </x:c>
      <x:c r="N19" s="159" t="str">
        <x:v>published 2026-07-03</x:v>
      </x:c>
      <x:c r="O19" s="158" t="str">
        <x:v>NEW_FAMILY_STUDY_DATASET_NO_DEDICATED_DB</x:v>
      </x:c>
      <x:c r="P19" s="158" t="str">
        <x:v>Exact family term plus database, atlas, repository and site-resource searches; dbPTM, ProteomeScout, UniProt and primary literature cross-check; completed 2026-08-14</x:v>
      </x:c>
      <x:c r="Q19" s="184" t="str">
        <x:v>https://pubmed.ncbi.nlm.nih.gov/42399660/</x:v>
      </x:c>
      <x:c r="R19" s="158" t="str">
        <x:v>Five histone and additional non-histone sites are deposited; 88 is the paper total, not a dedicated-database count.</x:v>
      </x:c>
    </x:row>
    <x:row r="20" ht="33" customHeight="1">
      <x:c r="A20" s="149" t="str">
        <x:v>ADJ019</x:v>
      </x:c>
      <x:c r="B20" s="150" t="str">
        <x:v>Malonylation</x:v>
      </x:c>
      <x:c r="C20" s="150" t="str">
        <x:v>Acylation and carbonyl additions</x:v>
      </x:c>
      <x:c r="D20" s="151" t="n">
        <x:v>1</x:v>
      </x:c>
      <x:c r="E20" s="151" t="n">
        <x:v>1</x:v>
      </x:c>
      <x:c r="F20" s="151" t="n">
        <x:v>1</x:v>
      </x:c>
      <x:c r="G20" s="151" t="n">
        <x:v>1</x:v>
      </x:c>
      <x:c r="H20" s="150" t="str">
        <x:v>CPLM 4.0</x:v>
      </x:c>
      <x:c r="I20" s="150" t="str">
        <x:v>current narrow multi-family experimental site database</x:v>
      </x:c>
      <x:c r="J20" s="151" t="str">
        <x:v>ACTIVE_MAINTAINED</x:v>
      </x:c>
      <x:c r="K20" s="150" t="str">
        <x:v>yes; underlying residue-level events/sites, while the type view reports proteins</x:v>
      </x:c>
      <x:c r="L20" s="168" t="n">
        <x:v>3577</x:v>
      </x:c>
      <x:c r="M20" s="150" t="str">
        <x:v>modified proteins in the CPLM type view</x:v>
      </x:c>
      <x:c r="N20" s="151" t="str">
        <x:v>2025-02-10</x:v>
      </x:c>
      <x:c r="O20" s="150" t="str">
        <x:v>ACTIVE_NARROW_MULTI_FAMILY_SITE_DB</x:v>
      </x:c>
      <x:c r="P20" s="150" t="str">
        <x:v>CPLM official live browse/type views and primary update paper; accessed 2026-08-14</x:v>
      </x:c>
      <x:c r="Q20" s="185" t="str">
        <x:v>https://cplm.biocuckoo.cn/Browse.php</x:v>
      </x:c>
      <x:c r="R20" s="150" t="str">
        <x:v>The displayed family number is proteins, not sites; do not add across types because a protein can carry multiple PTMs.</x:v>
      </x:c>
    </x:row>
    <x:row r="21" ht="33" customHeight="1">
      <x:c r="A21" s="157" t="str">
        <x:v>ADJ020</x:v>
      </x:c>
      <x:c r="B21" s="158" t="str">
        <x:v>Methacrylation</x:v>
      </x:c>
      <x:c r="C21" s="158" t="str">
        <x:v>Acylation and carbonyl additions</x:v>
      </x:c>
      <x:c r="D21" s="159" t="n">
        <x:v>1</x:v>
      </x:c>
      <x:c r="E21" s="159" t="n">
        <x:v>0</x:v>
      </x:c>
      <x:c r="F21" s="159" t="n">
        <x:v>0</x:v>
      </x:c>
      <x:c r="G21" s="159" t="n">
        <x:v>0</x:v>
      </x:c>
      <x:c r="H21" s="158" t="str">
        <x:v>ProteomeXchange PXD051167</x:v>
      </x:c>
      <x:c r="I21" s="158" t="str">
        <x:v>family-specific study dataset; not a maintained database</x:v>
      </x:c>
      <x:c r="J21" s="159" t="str">
        <x:v>SITE_DATASET_ONLY</x:v>
      </x:c>
      <x:c r="K21" s="158" t="str">
        <x:v>yes</x:v>
      </x:c>
      <x:c r="L21" s="170" t="str">
        <x:v>NR</x:v>
      </x:c>
      <x:c r="M21" s="158" t="str">
        <x:v>no exact family-level count in a dedicated resource</x:v>
      </x:c>
      <x:c r="N21" s="159" t="str">
        <x:v>search completed 2026-08-14</x:v>
      </x:c>
      <x:c r="O21" s="158" t="str">
        <x:v>FAMILY_STUDY_DATASET_NO_MAINTAINED_DB</x:v>
      </x:c>
      <x:c r="P21" s="158" t="str">
        <x:v>Exact family term plus database, atlas, repository and site-resource searches; dbPTM, ProteomeScout, UniProt and primary literature cross-check; completed 2026-08-14</x:v>
      </x:c>
      <x:c r="Q21" s="184" t="str">
        <x:v>https://proteomecentral.proteomexchange.org/cgi/GetDataset?ID=PXD051167</x:v>
      </x:c>
      <x:c r="R21" s="158" t="str">
        <x:v>The dataset cites 27 prior histone sites but exposes no clean aggregate site count; NR is retained.</x:v>
      </x:c>
    </x:row>
    <x:row r="22" ht="33" customHeight="1">
      <x:c r="A22" s="149" t="str">
        <x:v>ADJ021</x:v>
      </x:c>
      <x:c r="B22" s="150" t="str">
        <x:v>Propionylation</x:v>
      </x:c>
      <x:c r="C22" s="150" t="str">
        <x:v>Acylation and carbonyl additions</x:v>
      </x:c>
      <x:c r="D22" s="151" t="n">
        <x:v>1</x:v>
      </x:c>
      <x:c r="E22" s="151" t="n">
        <x:v>1</x:v>
      </x:c>
      <x:c r="F22" s="151" t="n">
        <x:v>1</x:v>
      </x:c>
      <x:c r="G22" s="151" t="n">
        <x:v>1</x:v>
      </x:c>
      <x:c r="H22" s="150" t="str">
        <x:v>CPLM 4.0</x:v>
      </x:c>
      <x:c r="I22" s="150" t="str">
        <x:v>current narrow multi-family experimental site database</x:v>
      </x:c>
      <x:c r="J22" s="151" t="str">
        <x:v>ACTIVE_MAINTAINED</x:v>
      </x:c>
      <x:c r="K22" s="150" t="str">
        <x:v>yes; underlying residue-level events/sites, while the type view reports proteins</x:v>
      </x:c>
      <x:c r="L22" s="168" t="n">
        <x:v>606</x:v>
      </x:c>
      <x:c r="M22" s="150" t="str">
        <x:v>modified proteins in the CPLM type view</x:v>
      </x:c>
      <x:c r="N22" s="151" t="str">
        <x:v>2025-02-10</x:v>
      </x:c>
      <x:c r="O22" s="150" t="str">
        <x:v>ACTIVE_NARROW_MULTI_FAMILY_SITE_DB</x:v>
      </x:c>
      <x:c r="P22" s="150" t="str">
        <x:v>CPLM official live browse/type views and primary update paper; accessed 2026-08-14</x:v>
      </x:c>
      <x:c r="Q22" s="185" t="str">
        <x:v>https://cplm.biocuckoo.cn/Browse.php</x:v>
      </x:c>
      <x:c r="R22" s="150" t="str">
        <x:v>The displayed family number is proteins, not sites; do not add across types because a protein can carry multiple PTMs.</x:v>
      </x:c>
    </x:row>
    <x:row r="23" ht="33" customHeight="1">
      <x:c r="A23" s="157" t="str">
        <x:v>ADJ022</x:v>
      </x:c>
      <x:c r="B23" s="158" t="str">
        <x:v>Succinylation</x:v>
      </x:c>
      <x:c r="C23" s="158" t="str">
        <x:v>Acylation and carbonyl additions</x:v>
      </x:c>
      <x:c r="D23" s="159" t="n">
        <x:v>1</x:v>
      </x:c>
      <x:c r="E23" s="159" t="n">
        <x:v>1</x:v>
      </x:c>
      <x:c r="F23" s="159" t="n">
        <x:v>1</x:v>
      </x:c>
      <x:c r="G23" s="159" t="n">
        <x:v>1</x:v>
      </x:c>
      <x:c r="H23" s="158" t="str">
        <x:v>CPLM 4.0</x:v>
      </x:c>
      <x:c r="I23" s="158" t="str">
        <x:v>current narrow multi-family experimental site database</x:v>
      </x:c>
      <x:c r="J23" s="159" t="str">
        <x:v>ACTIVE_MAINTAINED</x:v>
      </x:c>
      <x:c r="K23" s="158" t="str">
        <x:v>yes; underlying residue-level events/sites, while the type view reports proteins</x:v>
      </x:c>
      <x:c r="L23" s="170" t="n">
        <x:v>10533</x:v>
      </x:c>
      <x:c r="M23" s="158" t="str">
        <x:v>modified proteins in the CPLM type view</x:v>
      </x:c>
      <x:c r="N23" s="159" t="str">
        <x:v>2025-02-10</x:v>
      </x:c>
      <x:c r="O23" s="158" t="str">
        <x:v>ACTIVE_NARROW_MULTI_FAMILY_SITE_DB</x:v>
      </x:c>
      <x:c r="P23" s="158" t="str">
        <x:v>CPLM official live browse/type views and primary update paper; accessed 2026-08-14</x:v>
      </x:c>
      <x:c r="Q23" s="184" t="str">
        <x:v>https://cplm.biocuckoo.cn/Browse.php</x:v>
      </x:c>
      <x:c r="R23" s="158" t="str">
        <x:v>The displayed family number is proteins, not sites; do not add across types because a protein can carry multiple PTMs.</x:v>
      </x:c>
    </x:row>
    <x:row r="24" ht="33" customHeight="1">
      <x:c r="A24" s="149" t="str">
        <x:v>ADJ023</x:v>
      </x:c>
      <x:c r="B24" s="150" t="str">
        <x:v>ADP-ribosylation</x:v>
      </x:c>
      <x:c r="C24" s="150" t="str">
        <x:v>Small-group and nucleotide additions</x:v>
      </x:c>
      <x:c r="D24" s="151" t="n">
        <x:v>1</x:v>
      </x:c>
      <x:c r="E24" s="151" t="n">
        <x:v>1</x:v>
      </x:c>
      <x:c r="F24" s="151" t="n">
        <x:v>1</x:v>
      </x:c>
      <x:c r="G24" s="151" t="n">
        <x:v>1</x:v>
      </x:c>
      <x:c r="H24" s="150" t="str">
        <x:v>Plant PTM Viewer 2.0 current plant MAR subset; ADPriboDB 2.0 live aging global</x:v>
      </x:c>
      <x:c r="I24" s="150" t="str">
        <x:v>dedicated experimental site database</x:v>
      </x:c>
      <x:c r="J24" s="151" t="str">
        <x:v>ACTIVE_CURRENT_PARTIAL_PLUS_LIVE_AGING_DEDICATED</x:v>
      </x:c>
      <x:c r="K24" s="150" t="str">
        <x:v>yes</x:v>
      </x:c>
      <x:c r="L24" s="168" t="n">
        <x:v>50</x:v>
      </x:c>
      <x:c r="M24" s="150" t="str">
        <x:v>Plant PTM Viewer MARylation protein-isoform site rows</x:v>
      </x:c>
      <x:c r="N24" s="151" t="str">
        <x:v>v2.0 paper 2024; live API audited 2026-08-14</x:v>
      </x:c>
      <x:c r="O24" s="150" t="str">
        <x:v>ACTIVE_CURRENT_NARROW_DB_PARTIAL_FAMILY</x:v>
      </x:c>
      <x:c r="P24" s="150" t="str">
        <x:v>ADPriboDB official portal and primary update paper; accessed 2026-08-14</x:v>
      </x:c>
      <x:c r="Q24" s="185" t="str">
        <x:v>https://www.psb.ugent.be/webtools/ptm-viewer/ptm_info.php</x:v>
      </x:c>
      <x:c r="R24" s="150" t="str">
        <x:v>Current exact 50-row plant MAR subset; ADPriboDB 2.0 separately has 14,839 unique sites but is aging. Do not add across resources.</x:v>
      </x:c>
    </x:row>
    <x:row r="25" ht="33" customHeight="1">
      <x:c r="A25" s="157" t="str">
        <x:v>ADJ024</x:v>
      </x:c>
      <x:c r="B25" s="158" t="str">
        <x:v>Amidation</x:v>
      </x:c>
      <x:c r="C25" s="158" t="str">
        <x:v>Small-group and nucleotide additions</x:v>
      </x:c>
      <x:c r="D25" s="159" t="n">
        <x:v>1</x:v>
      </x:c>
      <x:c r="E25" s="159" t="n">
        <x:v>1</x:v>
      </x:c>
      <x:c r="F25" s="159" t="n">
        <x:v>1</x:v>
      </x:c>
      <x:c r="G25" s="159" t="n">
        <x:v>1</x:v>
      </x:c>
      <x:c r="H25" s="158" t="str">
        <x:v>APD6</x:v>
      </x:c>
      <x:c r="I25" s="158" t="str">
        <x:v>current maintained antimicrobial-peptide database; partial biological scope</x:v>
      </x:c>
      <x:c r="J25" s="159" t="str">
        <x:v>ACTIVE_MAINTAINED_NARROW_PARTIAL</x:v>
      </x:c>
      <x:c r="K25" s="158" t="str">
        <x:v>yes for natural C-terminally amidated antimicrobial peptides</x:v>
      </x:c>
      <x:c r="L25" s="170" t="n">
        <x:v>675</x:v>
      </x:c>
      <x:c r="M25" s="158" t="str">
        <x:v>natural amidated antimicrobial-peptide entries</x:v>
      </x:c>
      <x:c r="N25" s="159" t="str">
        <x:v>APD6 table 2025-03-27</x:v>
      </x:c>
      <x:c r="O25" s="158" t="str">
        <x:v>CURRENT_NARROW_PEPTIDE_RESOURCE_PARTIAL</x:v>
      </x:c>
      <x:c r="P25" s="158" t="str">
        <x:v>APD6 official portal/update paper and dbPTM cross-check; accessed 2026-08-14</x:v>
      </x:c>
      <x:c r="Q25" s="184" t="str">
        <x:v>https://aps.unmc.edu/</x:v>
      </x:c>
      <x:c r="R25" s="158" t="str">
        <x:v>APD6 has 1,279 amidated entries including synthetic records; 675 is the natural subset. It is not a proteome-wide amidation site database.</x:v>
      </x:c>
    </x:row>
    <x:row r="26" ht="33" customHeight="1">
      <x:c r="A26" s="149" t="str">
        <x:v>ADJ025</x:v>
      </x:c>
      <x:c r="B26" s="150" t="str">
        <x:v>Arginylation</x:v>
      </x:c>
      <x:c r="C26" s="150" t="str">
        <x:v>Small-group and nucleotide additions</x:v>
      </x:c>
      <x:c r="D26" s="151" t="n">
        <x:v>1</x:v>
      </x:c>
      <x:c r="E26" s="151" t="n">
        <x:v>1</x:v>
      </x:c>
      <x:c r="F26" s="151" t="n">
        <x:v>1</x:v>
      </x:c>
      <x:c r="G26" s="151" t="n">
        <x:v>0</x:v>
      </x:c>
      <x:c r="H26" s="150" t="str">
        <x:v>Arginylation.com atlas</x:v>
      </x:c>
      <x:c r="I26" s="150" t="str">
        <x:v>current dedicated experimental residue-site atlas with downloadable data</x:v>
      </x:c>
      <x:c r="J26" s="151" t="str">
        <x:v>ACTIVE_CURRENT_ATLAS_ACCESS_CONTROL</x:v>
      </x:c>
      <x:c r="K26" s="150" t="str">
        <x:v>yes</x:v>
      </x:c>
      <x:c r="L26" s="168" t="n">
        <x:v>235</x:v>
      </x:c>
      <x:c r="M26" s="150" t="str">
        <x:v>unique human arginylation sites</x:v>
      </x:c>
      <x:c r="N26" s="151" t="str">
        <x:v>2025 publication</x:v>
      </x:c>
      <x:c r="O26" s="150" t="str">
        <x:v>CURRENT_DEDICATED_EXPERIMENTAL_SITE_ATLAS</x:v>
      </x:c>
      <x:c r="P26" s="150" t="str">
        <x:v>2025 atlas paper, deposited data and endpoint audit; checked 2026-08-14</x:v>
      </x:c>
      <x:c r="Q26" s="185" t="str">
        <x:v>https://pmc.ncbi.nlm.nih.gov/articles/PMC12643917/</x:v>
      </x:c>
      <x:c r="R26" s="150" t="str">
        <x:v>Automated endpoint access was blocked, but the peer-reviewed current atlas and downloadable data substantiate the count.</x:v>
      </x:c>
    </x:row>
    <x:row r="27" ht="33" customHeight="1">
      <x:c r="A27" s="157" t="str">
        <x:v>ADJ026</x:v>
      </x:c>
      <x:c r="B27" s="158" t="str">
        <x:v>Carbamoylation</x:v>
      </x:c>
      <x:c r="C27" s="158" t="str">
        <x:v>Small-group and nucleotide additions</x:v>
      </x:c>
      <x:c r="D27" s="159" t="n">
        <x:v>1</x:v>
      </x:c>
      <x:c r="E27" s="159" t="n">
        <x:v>1</x:v>
      </x:c>
      <x:c r="F27" s="159" t="n">
        <x:v>1</x:v>
      </x:c>
      <x:c r="G27" s="159" t="n">
        <x:v>1</x:v>
      </x:c>
      <x:c r="H27" s="158" t="str">
        <x:v>Plant PTM Viewer 2.0 current plant subset; NIH renal-inner-medulla carbamylation database</x:v>
      </x:c>
      <x:c r="I27" s="158" t="str">
        <x:v>current narrow multi-family site database plus live-aging dedicated tissue database</x:v>
      </x:c>
      <x:c r="J27" s="159" t="str">
        <x:v>ACTIVE_PARTIAL_PLUS_LIVE_AGING_DEDICATED</x:v>
      </x:c>
      <x:c r="K27" s="158" t="str">
        <x:v>yes</x:v>
      </x:c>
      <x:c r="L27" s="170" t="n">
        <x:v>456</x:v>
      </x:c>
      <x:c r="M27" s="158" t="str">
        <x:v>unique rat renal-inner-medulla carbamylation sites in dedicated aging database</x:v>
      </x:c>
      <x:c r="N27" s="159" t="str">
        <x:v>2013 renal dataset; Plant PTM Viewer v2.0 2024</x:v>
      </x:c>
      <x:c r="O27" s="158" t="str">
        <x:v>ACTIVE_CURRENT_PARTIAL_AND_LIVE_AGING_DEDICATED_SITE_DB</x:v>
      </x:c>
      <x:c r="P27" s="158" t="str">
        <x:v>Plant PTM Viewer official current release and NIH dedicated database; checked 2026-08-14</x:v>
      </x:c>
      <x:c r="Q27" s="184" t="str">
        <x:v>https://www.psb.ugent.be/webtools/ptm-viewer/ptm_info.php | https://esbl.nhlbi.nih.gov/helixweb/Database/Carbamylation/Carbamylation_peptide_sorted.html</x:v>
      </x:c>
      <x:c r="R27" s="158" t="str">
        <x:v>456 is the exact tissue-restricted NIH count; the current plant resource provides partial current coverage but its family total is not substituted.</x:v>
      </x:c>
    </x:row>
    <x:row r="28" ht="33" customHeight="1">
      <x:c r="A28" s="149" t="str">
        <x:v>ADJ027</x:v>
      </x:c>
      <x:c r="B28" s="150" t="str">
        <x:v>Carboxylation</x:v>
      </x:c>
      <x:c r="C28" s="150" t="str">
        <x:v>Small-group and nucleotide additions</x:v>
      </x:c>
      <x:c r="D28" s="151" t="n">
        <x:v>1</x:v>
      </x:c>
      <x:c r="E28" s="151" t="n">
        <x:v>1</x:v>
      </x:c>
      <x:c r="F28" s="151" t="n">
        <x:v>1</x:v>
      </x:c>
      <x:c r="G28" s="151" t="n">
        <x:v>1</x:v>
      </x:c>
      <x:c r="H28" s="150" t="str">
        <x:v>CPLM 4.0 partial lysine subtype; StrucPTM gamma-carboxyglutamate occurrences</x:v>
      </x:c>
      <x:c r="I28" s="150" t="str">
        <x:v>current narrow site DB plus structural database</x:v>
      </x:c>
      <x:c r="J28" s="151" t="str">
        <x:v>ACTIVE_PARTIAL_SUBTYPE</x:v>
      </x:c>
      <x:c r="K28" s="150" t="str">
        <x:v>yes for lysine records; structural occurrences for gamma-carboxyglutamate</x:v>
      </x:c>
      <x:c r="L28" s="168" t="n">
        <x:v>42</x:v>
      </x:c>
      <x:c r="M28" s="150" t="str">
        <x:v>carboxylated lysine proteins in CPLM type view</x:v>
      </x:c>
      <x:c r="N28" s="151" t="str">
        <x:v>CPLM 2025-02-10</x:v>
      </x:c>
      <x:c r="O28" s="150" t="str">
        <x:v>PARTIAL_SUBTYPE_DEDICATED_DB</x:v>
      </x:c>
      <x:c r="P28" s="150" t="str">
        <x:v>CPLM, StrucPTM, dbPTM and primary-source search; accessed 2026-08-14</x:v>
      </x:c>
      <x:c r="Q28" s="185" t="str">
        <x:v>https://cplm.biocuckoo.cn/Browse.php</x:v>
      </x:c>
      <x:c r="R28" s="150" t="str">
        <x:v>The normalized ontology family also includes gamma-carboxyglutamate; StrucPTM has 790 PDB occurrences, not unique sequence sites.</x:v>
      </x:c>
    </x:row>
    <x:row r="29" ht="33" customHeight="1">
      <x:c r="A29" s="157" t="str">
        <x:v>ADJ028</x:v>
      </x:c>
      <x:c r="B29" s="158" t="str">
        <x:v>EF-P 5-aminopentanolylation</x:v>
      </x:c>
      <x:c r="C29" s="158" t="str">
        <x:v>Small-group and nucleotide additions</x:v>
      </x:c>
      <x:c r="D29" s="159" t="n">
        <x:v>1</x:v>
      </x:c>
      <x:c r="E29" s="159" t="n">
        <x:v>0</x:v>
      </x:c>
      <x:c r="F29" s="159" t="n">
        <x:v>0</x:v>
      </x:c>
      <x:c r="G29" s="159" t="n">
        <x:v>0</x:v>
      </x:c>
      <x:c r="H29" s="158" t="str">
        <x:v>primary biochemical studies</x:v>
      </x:c>
      <x:c r="I29" s="158" t="str">
        <x:v>primary study evidence; not a database</x:v>
      </x:c>
      <x:c r="J29" s="159" t="str">
        <x:v>PRIMARY_STUDY_ONLY</x:v>
      </x:c>
      <x:c r="K29" s="158" t="str">
        <x:v>yes; EF-P site experimentally characterized</x:v>
      </x:c>
      <x:c r="L29" s="170" t="str">
        <x:v>NR</x:v>
      </x:c>
      <x:c r="M29" s="158" t="str">
        <x:v>no exact family-level count in a dedicated resource</x:v>
      </x:c>
      <x:c r="N29" s="159" t="str">
        <x:v>search completed 2026-08-14</x:v>
      </x:c>
      <x:c r="O29" s="158" t="str">
        <x:v>SEARCHED_NO_DEDICATED_RESOURCE</x:v>
      </x:c>
      <x:c r="P29" s="158" t="str">
        <x:v>Exact family term plus database, atlas, repository and site-resource searches; dbPTM, ProteomeScout, UniProt and primary literature cross-check; completed 2026-08-14</x:v>
      </x:c>
      <x:c r="Q29" s="184" t="str">
        <x:v>https://doi.org/10.1002/2211-5463.12901</x:v>
      </x:c>
      <x:c r="R29" s="158" t="str">
        <x:v>NR means not reported or no dedicated-resource denominator; it does not mean zero biological sites.</x:v>
      </x:c>
    </x:row>
    <x:row r="30" ht="33" customHeight="1">
      <x:c r="A30" s="149" t="str">
        <x:v>ADJ029</x:v>
      </x:c>
      <x:c r="B30" s="150" t="str">
        <x:v>EF-P beta-lysylation</x:v>
      </x:c>
      <x:c r="C30" s="150" t="str">
        <x:v>Small-group and nucleotide additions</x:v>
      </x:c>
      <x:c r="D30" s="151" t="n">
        <x:v>1</x:v>
      </x:c>
      <x:c r="E30" s="151" t="n">
        <x:v>0</x:v>
      </x:c>
      <x:c r="F30" s="151" t="n">
        <x:v>0</x:v>
      </x:c>
      <x:c r="G30" s="151" t="n">
        <x:v>0</x:v>
      </x:c>
      <x:c r="H30" s="150" t="str">
        <x:v>primary biochemical studies</x:v>
      </x:c>
      <x:c r="I30" s="150" t="str">
        <x:v>primary study evidence; not a database</x:v>
      </x:c>
      <x:c r="J30" s="151" t="str">
        <x:v>PRIMARY_STUDY_ONLY</x:v>
      </x:c>
      <x:c r="K30" s="150" t="str">
        <x:v>yes; EF-P beta-lysylation site experimentally characterized</x:v>
      </x:c>
      <x:c r="L30" s="168" t="str">
        <x:v>NR</x:v>
      </x:c>
      <x:c r="M30" s="150" t="str">
        <x:v>no exact family-level count in a dedicated resource</x:v>
      </x:c>
      <x:c r="N30" s="151" t="str">
        <x:v>search completed 2026-08-14</x:v>
      </x:c>
      <x:c r="O30" s="150" t="str">
        <x:v>SEARCHED_NO_DEDICATED_RESOURCE</x:v>
      </x:c>
      <x:c r="P30" s="150" t="str">
        <x:v>Exact family term plus database, atlas, repository and site-resource searches; dbPTM, ProteomeScout, UniProt and primary literature cross-check; completed 2026-08-14</x:v>
      </x:c>
      <x:c r="Q30" s="185" t="str">
        <x:v>https://doi.org/10.1074/jbc.M111.309633</x:v>
      </x:c>
      <x:c r="R30" s="150" t="str">
        <x:v>NR means not reported or no dedicated-resource denominator; it does not mean zero biological sites.</x:v>
      </x:c>
    </x:row>
    <x:row r="31" ht="33" customHeight="1">
      <x:c r="A31" s="157" t="str">
        <x:v>ADJ030</x:v>
      </x:c>
      <x:c r="B31" s="158" t="str">
        <x:v>Ethanolamine phosphoglycerol addition</x:v>
      </x:c>
      <x:c r="C31" s="158" t="str">
        <x:v>Small-group and nucleotide additions</x:v>
      </x:c>
      <x:c r="D31" s="159" t="n">
        <x:v>1</x:v>
      </x:c>
      <x:c r="E31" s="159" t="n">
        <x:v>1</x:v>
      </x:c>
      <x:c r="F31" s="159" t="n">
        <x:v>1</x:v>
      </x:c>
      <x:c r="G31" s="159" t="n">
        <x:v>1</x:v>
      </x:c>
      <x:c r="H31" s="158" t="str">
        <x:v>Plant PTM Viewer 2.0</x:v>
      </x:c>
      <x:c r="I31" s="158" t="str">
        <x:v>current narrow multi-family experimental plant PTM site database</x:v>
      </x:c>
      <x:c r="J31" s="159" t="str">
        <x:v>ACTIVE_MAINTAINED_PARTIAL_SCOPE</x:v>
      </x:c>
      <x:c r="K31" s="158" t="str">
        <x:v>yes; live residue-level rows</x:v>
      </x:c>
      <x:c r="L31" s="170" t="n">
        <x:v>9</x:v>
      </x:c>
      <x:c r="M31" s="158" t="str">
        <x:v>Arabidopsis protein-isoform site rows at Glu289 in the live API</x:v>
      </x:c>
      <x:c r="N31" s="159" t="str">
        <x:v>v2.0 paper 2024; API audited 2026-08-14</x:v>
      </x:c>
      <x:c r="O31" s="158" t="str">
        <x:v>ACTIVE_NARROW_MULTI_FAMILY_SITE_DB_PARTIAL_SCOPE</x:v>
      </x:c>
      <x:c r="P31" s="158" t="str">
        <x:v>Plant PTM Viewer official PTM info and live filtered API; audited 2026-08-14</x:v>
      </x:c>
      <x:c r="Q31" s="184" t="str">
        <x:v>https://www.psb.ugent.be/webtools/ptm-viewer/ptm_info.php</x:v>
      </x:c>
      <x:c r="R31" s="158" t="str">
        <x:v>Nine isoform/accession rows represent conserved EF-1A loci and are not nine independent biological residues.</x:v>
      </x:c>
    </x:row>
    <x:row r="32" ht="33" customHeight="1">
      <x:c r="A32" s="149" t="str">
        <x:v>ADJ031</x:v>
      </x:c>
      <x:c r="B32" s="150" t="str">
        <x:v>Methylation</x:v>
      </x:c>
      <x:c r="C32" s="150" t="str">
        <x:v>Small-group and nucleotide additions</x:v>
      </x:c>
      <x:c r="D32" s="151" t="n">
        <x:v>1</x:v>
      </x:c>
      <x:c r="E32" s="151" t="n">
        <x:v>1</x:v>
      </x:c>
      <x:c r="F32" s="151" t="n">
        <x:v>1</x:v>
      </x:c>
      <x:c r="G32" s="151" t="n">
        <x:v>1</x:v>
      </x:c>
      <x:c r="H32" s="150" t="str">
        <x:v>PTMeXchange Human Methylation build; ProMetheusDB; CPLM 4.0</x:v>
      </x:c>
      <x:c r="I32" s="150" t="str">
        <x:v>current site atlas plus live aging dedicated DB plus current lysine PTM DB</x:v>
      </x:c>
      <x:c r="J32" s="151" t="str">
        <x:v>ACTIVE_ATLAS_PLUS_ACTIVE_AND_LIVE_AGING_DATABASES</x:v>
      </x:c>
      <x:c r="K32" s="150" t="str">
        <x:v>yes</x:v>
      </x:c>
      <x:c r="L32" s="168" t="n">
        <x:v>1828</x:v>
      </x:c>
      <x:c r="M32" s="150" t="str">
        <x:v>high-confidence human methylation sites in the PTMeXchange build</x:v>
      </x:c>
      <x:c r="N32" s="151" t="str">
        <x:v>2026-07-01 preprint</x:v>
      </x:c>
      <x:c r="O32" s="150" t="str">
        <x:v>ACTIVE_ATLAS_AND_DEDICATED_DATABASE_COVERAGE</x:v>
      </x:c>
      <x:c r="P32" s="150" t="str">
        <x:v>PTMeXchange, ProMetheusDB and CPLM official/primary sources; accessed 2026-08-14</x:v>
      </x:c>
      <x:c r="Q32" s="185" t="str">
        <x:v>https://www.biorxiv.org/content/10.64898/2026.07.01.733993v1</x:v>
      </x:c>
      <x:c r="R32" s="150" t="str">
        <x:v>57 methyl-Lys + 1771 methyl-Arg sites in 1021 proteins. ProMetheusDB has 1599 sites; CPLM has 5361 lysine-methylated proteins. Do not add overlapping resources.</x:v>
      </x:c>
    </x:row>
    <x:row r="33" ht="33" customHeight="1">
      <x:c r="A33" s="157" t="str">
        <x:v>ADJ032</x:v>
      </x:c>
      <x:c r="B33" s="158" t="str">
        <x:v>Methylthiolation</x:v>
      </x:c>
      <x:c r="C33" s="158" t="str">
        <x:v>Small-group and nucleotide additions</x:v>
      </x:c>
      <x:c r="D33" s="159" t="n">
        <x:v>1</x:v>
      </x:c>
      <x:c r="E33" s="159" t="n">
        <x:v>0</x:v>
      </x:c>
      <x:c r="F33" s="159" t="n">
        <x:v>0</x:v>
      </x:c>
      <x:c r="G33" s="159" t="n">
        <x:v>0</x:v>
      </x:c>
      <x:c r="H33" s="158" t="str">
        <x:v>primary RimO methylthiolation studies and UniProt/Rhea reaction records</x:v>
      </x:c>
      <x:c r="I33" s="158" t="str">
        <x:v>primary study and enzyme/reaction knowledgebases; no site database</x:v>
      </x:c>
      <x:c r="J33" s="159" t="str">
        <x:v>PRIMARY_AND_ENZYME_RESOURCE_ONLY</x:v>
      </x:c>
      <x:c r="K33" s="158" t="str">
        <x:v>yes; ribosomal protein S12 Asp site experimentally characterized</x:v>
      </x:c>
      <x:c r="L33" s="170" t="n">
        <x:v>1</x:v>
      </x:c>
      <x:c r="M33" s="158" t="str">
        <x:v>foundational E. coli S12 methylthiolated Asp site</x:v>
      </x:c>
      <x:c r="N33" s="159" t="str">
        <x:v>2008 primary study</x:v>
      </x:c>
      <x:c r="O33" s="158" t="str">
        <x:v>NO_DEDICATED_EXPERIMENTAL_SITE_DB</x:v>
      </x:c>
      <x:c r="P33" s="158" t="str">
        <x:v>Exact family term plus database, atlas, repository and site-resource searches; dbPTM, ProteomeScout, UniProt and primary literature cross-check; completed 2026-08-14</x:v>
      </x:c>
      <x:c r="Q33" s="184" t="str">
        <x:v>https://pmc.ncbi.nlm.nih.gov/articles/PMC2538847/</x:v>
      </x:c>
      <x:c r="R33" s="158" t="str">
        <x:v>The one-site value is an exemplar-study observation, not a cross-species family denominator.</x:v>
      </x:c>
    </x:row>
    <x:row r="34" ht="33" customHeight="1">
      <x:c r="A34" s="149" t="str">
        <x:v>ADJ033</x:v>
      </x:c>
      <x:c r="B34" s="150" t="str">
        <x:v>NMPylation</x:v>
      </x:c>
      <x:c r="C34" s="150" t="str">
        <x:v>Small-group and nucleotide additions</x:v>
      </x:c>
      <x:c r="D34" s="151" t="n">
        <x:v>1</x:v>
      </x:c>
      <x:c r="E34" s="151" t="n">
        <x:v>0</x:v>
      </x:c>
      <x:c r="F34" s="151" t="n">
        <x:v>0</x:v>
      </x:c>
      <x:c r="G34" s="151" t="n">
        <x:v>0</x:v>
      </x:c>
      <x:c r="H34" s="150" t="str">
        <x:v>dbPTM 2025 general integrator</x:v>
      </x:c>
      <x:c r="I34" s="150" t="str">
        <x:v>current general multi-PTM integrator</x:v>
      </x:c>
      <x:c r="J34" s="151" t="str">
        <x:v>GENERAL_INTEGRATOR_ONLY</x:v>
      </x:c>
      <x:c r="K34" s="150" t="str">
        <x:v>yes for AMPylation and UMPylation in a general integrator; no dedicated family database</x:v>
      </x:c>
      <x:c r="L34" s="168" t="n">
        <x:v>37</x:v>
      </x:c>
      <x:c r="M34" s="150" t="str">
        <x:v>experimental site rows: AMPylation 27 plus UMPylation 10; subtype sum</x:v>
      </x:c>
      <x:c r="N34" s="151" t="str">
        <x:v>dbPTM Release 2024 table; accessed 2026-08-14</x:v>
      </x:c>
      <x:c r="O34" s="150" t="str">
        <x:v>GENERAL_INTEGRATOR_ONLY_NO_DEDICATED_DB</x:v>
      </x:c>
      <x:c r="P34" s="150" t="str">
        <x:v>Exact family term plus database, atlas, repository and site-resource searches; dbPTM, ProteomeScout, UniProt and primary literature cross-check; completed 2026-08-14</x:v>
      </x:c>
      <x:c r="Q34" s="185" t="str">
        <x:v>https://biomics.lab.nycu.edu.tw/dbPTM/statistics.php</x:v>
      </x:c>
      <x:c r="R34" s="150" t="str">
        <x:v>The final family merges validated AMP and UMP donors; unsupported generic GMPylation is excluded. Subtype rows are summed only as table annotations.</x:v>
      </x:c>
    </x:row>
    <x:row r="35" ht="33" customHeight="1">
      <x:c r="A35" s="157" t="str">
        <x:v>ADJ034</x:v>
      </x:c>
      <x:c r="B35" s="158" t="str">
        <x:v>Phosphoaminoalcoholation</x:v>
      </x:c>
      <x:c r="C35" s="158" t="str">
        <x:v>Small-group and nucleotide additions</x:v>
      </x:c>
      <x:c r="D35" s="159" t="n">
        <x:v>1</x:v>
      </x:c>
      <x:c r="E35" s="159" t="n">
        <x:v>0</x:v>
      </x:c>
      <x:c r="F35" s="159" t="n">
        <x:v>0</x:v>
      </x:c>
      <x:c r="G35" s="159" t="n">
        <x:v>0</x:v>
      </x:c>
      <x:c r="H35" s="158" t="str">
        <x:v>ProteomeScout current general integrator</x:v>
      </x:c>
      <x:c r="I35" s="158" t="str">
        <x:v>current general multi-PTM integrator</x:v>
      </x:c>
      <x:c r="J35" s="159" t="str">
        <x:v>GENERAL_INTEGRATOR_ONLY</x:v>
      </x:c>
      <x:c r="K35" s="158" t="str">
        <x:v>yes for phosphocholination records; no dedicated family database</x:v>
      </x:c>
      <x:c r="L35" s="170" t="n">
        <x:v>14</x:v>
      </x:c>
      <x:c r="M35" s="158" t="str">
        <x:v>phosphocholination annotation records; phosphoethanolamination not separately counted</x:v>
      </x:c>
      <x:c r="N35" s="159" t="str">
        <x:v>ProteomeScout TSV 2026-06-02</x:v>
      </x:c>
      <x:c r="O35" s="158" t="str">
        <x:v>GENERAL_INTEGRATOR_ONLY_NO_DEDICATED_DB</x:v>
      </x:c>
      <x:c r="P35" s="158" t="str">
        <x:v>Exact family term plus database, atlas, repository and site-resource searches; dbPTM, ProteomeScout, UniProt and primary literature cross-check; completed 2026-08-14</x:v>
      </x:c>
      <x:c r="Q35" s="184" t="str">
        <x:v>https://proteomescout.research.virginia.edu/downloads</x:v>
      </x:c>
      <x:c r="R35" s="158" t="str">
        <x:v>Partial child evidence only; annotation records are not guaranteed unique accession-position sites.</x:v>
      </x:c>
    </x:row>
    <x:row r="36" ht="33" customHeight="1">
      <x:c r="A36" s="149" t="str">
        <x:v>ADJ035</x:v>
      </x:c>
      <x:c r="B36" s="150" t="str">
        <x:v>Phosphoglycerylation</x:v>
      </x:c>
      <x:c r="C36" s="150" t="str">
        <x:v>Small-group and nucleotide additions</x:v>
      </x:c>
      <x:c r="D36" s="151" t="n">
        <x:v>1</x:v>
      </x:c>
      <x:c r="E36" s="151" t="n">
        <x:v>1</x:v>
      </x:c>
      <x:c r="F36" s="151" t="n">
        <x:v>1</x:v>
      </x:c>
      <x:c r="G36" s="151" t="n">
        <x:v>1</x:v>
      </x:c>
      <x:c r="H36" s="150" t="str">
        <x:v>CPLM 4.0</x:v>
      </x:c>
      <x:c r="I36" s="150" t="str">
        <x:v>current narrow multi-family experimental site database</x:v>
      </x:c>
      <x:c r="J36" s="151" t="str">
        <x:v>ACTIVE_MAINTAINED</x:v>
      </x:c>
      <x:c r="K36" s="150" t="str">
        <x:v>yes; underlying residue-level events/sites, while the type view reports proteins</x:v>
      </x:c>
      <x:c r="L36" s="168" t="n">
        <x:v>134</x:v>
      </x:c>
      <x:c r="M36" s="150" t="str">
        <x:v>modified proteins in the CPLM type view</x:v>
      </x:c>
      <x:c r="N36" s="151" t="str">
        <x:v>2025-02-10</x:v>
      </x:c>
      <x:c r="O36" s="150" t="str">
        <x:v>ACTIVE_NARROW_MULTI_FAMILY_SITE_DB</x:v>
      </x:c>
      <x:c r="P36" s="150" t="str">
        <x:v>CPLM official live browse/type views and primary update paper; accessed 2026-08-14</x:v>
      </x:c>
      <x:c r="Q36" s="185" t="str">
        <x:v>https://cplm.biocuckoo.cn/Browse.php</x:v>
      </x:c>
      <x:c r="R36" s="150" t="str">
        <x:v>The displayed family number is proteins, not sites; do not add across types because a protein can carry multiple PTMs.</x:v>
      </x:c>
    </x:row>
    <x:row r="37" ht="33" customHeight="1">
      <x:c r="A37" s="157" t="str">
        <x:v>ADJ036</x:v>
      </x:c>
      <x:c r="B37" s="158" t="str">
        <x:v>Phosphorylation</x:v>
      </x:c>
      <x:c r="C37" s="158" t="str">
        <x:v>Small-group and nucleotide additions</x:v>
      </x:c>
      <x:c r="D37" s="159" t="n">
        <x:v>1</x:v>
      </x:c>
      <x:c r="E37" s="159" t="n">
        <x:v>1</x:v>
      </x:c>
      <x:c r="F37" s="159" t="n">
        <x:v>1</x:v>
      </x:c>
      <x:c r="G37" s="159" t="n">
        <x:v>1</x:v>
      </x:c>
      <x:c r="H37" s="158" t="str">
        <x:v>EPSD 2.0; dbPSP 2.0</x:v>
      </x:c>
      <x:c r="I37" s="158" t="str">
        <x:v>dedicated eukaryotic and prokaryotic site databases</x:v>
      </x:c>
      <x:c r="J37" s="159" t="str">
        <x:v>ACTIVE_MAINTAINED_PLUS_LIVE_AGING</x:v>
      </x:c>
      <x:c r="K37" s="158" t="str">
        <x:v>yes</x:v>
      </x:c>
      <x:c r="L37" s="170" t="n">
        <x:v>2769163</x:v>
      </x:c>
      <x:c r="M37" s="158" t="str">
        <x:v>experimentally identified eukaryotic phosphorylation sites in EPSD</x:v>
      </x:c>
      <x:c r="N37" s="159" t="str">
        <x:v>EPSD updated 2026-08-01</x:v>
      </x:c>
      <x:c r="O37" s="158" t="str">
        <x:v>ACTIVE_DEDICATED_SITE_DB</x:v>
      </x:c>
      <x:c r="P37" s="158" t="str">
        <x:v>EPSD and dbPSP official sites/update papers; accessed 2026-08-14</x:v>
      </x:c>
      <x:c r="Q37" s="184" t="str">
        <x:v>https://epsd.biocuckoo.cn/Browse.php</x:v>
      </x:c>
      <x:c r="R37" s="158" t="str">
        <x:v>EPSD also has 362707 phosphoproteins across 223 eukaryotes. dbPSP separately contributes 19296 nonredundant prokaryotic sites; do not add without deduplication.</x:v>
      </x:c>
    </x:row>
    <x:row r="38" ht="33" customHeight="1">
      <x:c r="A38" s="149" t="str">
        <x:v>ADJ037</x:v>
      </x:c>
      <x:c r="B38" s="150" t="str">
        <x:v>Protein monoaminylation</x:v>
      </x:c>
      <x:c r="C38" s="150" t="str">
        <x:v>Small-group and nucleotide additions</x:v>
      </x:c>
      <x:c r="D38" s="151" t="n">
        <x:v>1</x:v>
      </x:c>
      <x:c r="E38" s="151" t="n">
        <x:v>0</x:v>
      </x:c>
      <x:c r="F38" s="151" t="n">
        <x:v>0</x:v>
      </x:c>
      <x:c r="G38" s="151" t="n">
        <x:v>0</x:v>
      </x:c>
      <x:c r="H38" s="150" t="str">
        <x:v>ProteomeXchange PXD054426 plus dbPTM</x:v>
      </x:c>
      <x:c r="I38" s="150" t="str">
        <x:v>current family-specific study dataset plus general integrator; not a maintained database</x:v>
      </x:c>
      <x:c r="J38" s="151" t="str">
        <x:v>SITE_DATASET_ONLY</x:v>
      </x:c>
      <x:c r="K38" s="150" t="str">
        <x:v>yes; over 500 serotonylated proteins reported, but exact site total not stated</x:v>
      </x:c>
      <x:c r="L38" s="168" t="n">
        <x:v>9</x:v>
      </x:c>
      <x:c r="M38" s="150" t="str">
        <x:v>experimental serotonylation sites in dbPTM general integrator</x:v>
      </x:c>
      <x:c r="N38" s="151" t="str">
        <x:v>PXD announced 2024-07-31; dbPTM table accessed 2026-08-14</x:v>
      </x:c>
      <x:c r="O38" s="150" t="str">
        <x:v>FAMILY_STUDY_DATASET_NO_MAINTAINED_DB</x:v>
      </x:c>
      <x:c r="P38" s="150" t="str">
        <x:v>Exact family term plus database, atlas, repository and site-resource searches; dbPTM, ProteomeScout, UniProt and primary literature cross-check; completed 2026-08-14</x:v>
      </x:c>
      <x:c r="Q38" s="185" t="str">
        <x:v>https://proteomecentral.proteomexchange.org/cgi/GetDataset?ID=PXD054426-1&amp;test=no</x:v>
      </x:c>
      <x:c r="R38" s="150" t="str">
        <x:v>Serotonylation is only one donor child; do not convert over 500 proteins into sites or infer coverage of all monoamines.</x:v>
      </x:c>
    </x:row>
    <x:row r="39" ht="33" customHeight="1">
      <x:c r="A39" s="157" t="str">
        <x:v>ADJ038</x:v>
      </x:c>
      <x:c r="B39" s="158" t="str">
        <x:v>Sulfation</x:v>
      </x:c>
      <x:c r="C39" s="158" t="str">
        <x:v>Small-group and nucleotide additions</x:v>
      </x:c>
      <x:c r="D39" s="159" t="n">
        <x:v>1</x:v>
      </x:c>
      <x:c r="E39" s="159" t="n">
        <x:v>1</x:v>
      </x:c>
      <x:c r="F39" s="159" t="n">
        <x:v>0</x:v>
      </x:c>
      <x:c r="G39" s="159" t="n">
        <x:v>0</x:v>
      </x:c>
      <x:c r="H39" s="158" t="str">
        <x:v>DOSS historical tyrosine-sulfation database; StrucPTM structural subset</x:v>
      </x:c>
      <x:c r="I39" s="158" t="str">
        <x:v>historical dedicated site DB plus current broad structural DB</x:v>
      </x:c>
      <x:c r="J39" s="159" t="str">
        <x:v>UNAVAILABLE_HISTORICAL</x:v>
      </x:c>
      <x:c r="K39" s="158" t="str">
        <x:v>yes in historical DOSS</x:v>
      </x:c>
      <x:c r="L39" s="170" t="n">
        <x:v>273</x:v>
      </x:c>
      <x:c r="M39" s="158" t="str">
        <x:v>experimentally identified tyrosine-sulfation sites</x:v>
      </x:c>
      <x:c r="N39" s="159" t="n">
        <x:v>2014</x:v>
      </x:c>
      <x:c r="O39" s="158" t="str">
        <x:v>HISTORICAL_UNAVAILABLE_DEDICATED_SITE_DB</x:v>
      </x:c>
      <x:c r="P39" s="158" t="str">
        <x:v>DOSS endpoint/status, StrucPTM API, dbPTM and primary paper; checked 2026-08-14</x:v>
      </x:c>
      <x:c r="Q39" s="184" t="str">
        <x:v>https://pmc.ncbi.nlm.nih.gov/articles/PMC4256647/</x:v>
      </x:c>
      <x:c r="R39" s="158" t="str">
        <x:v>The ontology family is broader than tyrosine sulfation. StrucPTM has 869 PDB sulfation occurrences; those are not unique sequence sites or functional effects.</x:v>
      </x:c>
    </x:row>
    <x:row r="40" ht="33" customHeight="1">
      <x:c r="A40" s="149" t="str">
        <x:v>ADJ039</x:v>
      </x:c>
      <x:c r="B40" s="150" t="str">
        <x:v>Thiocarboxylation</x:v>
      </x:c>
      <x:c r="C40" s="150" t="str">
        <x:v>Small-group and nucleotide additions</x:v>
      </x:c>
      <x:c r="D40" s="151" t="n">
        <x:v>1</x:v>
      </x:c>
      <x:c r="E40" s="151" t="n">
        <x:v>0</x:v>
      </x:c>
      <x:c r="F40" s="151" t="n">
        <x:v>0</x:v>
      </x:c>
      <x:c r="G40" s="151" t="n">
        <x:v>0</x:v>
      </x:c>
      <x:c r="H40" s="150" t="str">
        <x:v>dbPTM 2025 general integrator</x:v>
      </x:c>
      <x:c r="I40" s="150" t="str">
        <x:v>general PTM integrator</x:v>
      </x:c>
      <x:c r="J40" s="151" t="str">
        <x:v>GENERAL_INTEGRATOR_ONLY</x:v>
      </x:c>
      <x:c r="K40" s="150" t="str">
        <x:v>yes in a general integrator; no dedicated database found</x:v>
      </x:c>
      <x:c r="L40" s="168" t="n">
        <x:v>13</x:v>
      </x:c>
      <x:c r="M40" s="150" t="str">
        <x:v>experimental sites in the fixed dbPTM Release 2024 statistics table</x:v>
      </x:c>
      <x:c r="N40" s="151" t="str">
        <x:v>dbPTM Release 2024 table; accessed 2026-08-14</x:v>
      </x:c>
      <x:c r="O40" s="150" t="str">
        <x:v>GENERAL_INTEGRATOR_ONLY_NO_DEDICATED_DB</x:v>
      </x:c>
      <x:c r="P40" s="150" t="str">
        <x:v>Official dedicated-resource names, dbPTM/UniProt/ProteomeScout cross-checks, and primary-paper search; completed 2026-08-14</x:v>
      </x:c>
      <x:c r="Q40" s="185" t="str">
        <x:v>https://biomics.lab.nycu.edu.tw/dbPTM/statistics.php</x:v>
      </x:c>
      <x:c r="R40" s="150" t="str">
        <x:v>Putative sites are excluded. A zero means zero experimental rows in this fixed table, not absence of the PTM from biology.</x:v>
      </x:c>
    </x:row>
    <x:row r="41" ht="33" customHeight="1">
      <x:c r="A41" s="157" t="str">
        <x:v>ADJ040</x:v>
      </x:c>
      <x:c r="B41" s="158" t="str">
        <x:v>Tyrosination</x:v>
      </x:c>
      <x:c r="C41" s="158" t="str">
        <x:v>Small-group and nucleotide additions</x:v>
      </x:c>
      <x:c r="D41" s="159" t="n">
        <x:v>1</x:v>
      </x:c>
      <x:c r="E41" s="159" t="n">
        <x:v>1</x:v>
      </x:c>
      <x:c r="F41" s="159" t="n">
        <x:v>0</x:v>
      </x:c>
      <x:c r="G41" s="159" t="n">
        <x:v>0</x:v>
      </x:c>
      <x:c r="H41" s="158" t="str">
        <x:v>TubulinDB</x:v>
      </x:c>
      <x:c r="I41" s="158" t="str">
        <x:v>historical/unavailable narrow tubulin PTM resource</x:v>
      </x:c>
      <x:c r="J41" s="159" t="str">
        <x:v>UNAVAILABLE_HISTORICAL</x:v>
      </x:c>
      <x:c r="K41" s="158" t="str">
        <x:v>mixed tubulin entries include re-tyrosination; no exact family count</x:v>
      </x:c>
      <x:c r="L41" s="170" t="str">
        <x:v>NR</x:v>
      </x:c>
      <x:c r="M41" s="158" t="str">
        <x:v>no exact family-level count in a dedicated resource</x:v>
      </x:c>
      <x:c r="N41" s="159" t="str">
        <x:v>search completed 2026-08-14</x:v>
      </x:c>
      <x:c r="O41" s="158" t="str">
        <x:v>HISTORICAL_RESOURCE_ONLY_NO_CURRENT_SITE_DB</x:v>
      </x:c>
      <x:c r="P41" s="158" t="str">
        <x:v>TubulinDB primary database paper and endpoint audit; checked 2026-08-14</x:v>
      </x:c>
      <x:c r="Q41" s="184" t="str">
        <x:v>https://journals.plos.org/plosone/article?id=10.1371/journal.pone.0295279</x:v>
      </x:c>
      <x:c r="R41" s="158" t="str">
        <x:v>The mixed nearly 18,000-entry total is not a tyrosination site count.</x:v>
      </x:c>
    </x:row>
    <x:row r="42" ht="33" customHeight="1">
      <x:c r="A42" s="149" t="str">
        <x:v>ADJ041</x:v>
      </x:c>
      <x:c r="B42" s="150" t="str">
        <x:v>Glycation and AGE formation</x:v>
      </x:c>
      <x:c r="C42" s="150" t="str">
        <x:v>Glycosylation and glycation</x:v>
      </x:c>
      <x:c r="D42" s="151" t="n">
        <x:v>1</x:v>
      </x:c>
      <x:c r="E42" s="151" t="n">
        <x:v>1</x:v>
      </x:c>
      <x:c r="F42" s="151" t="n">
        <x:v>1</x:v>
      </x:c>
      <x:c r="G42" s="151" t="n">
        <x:v>1</x:v>
      </x:c>
      <x:c r="H42" s="150" t="str">
        <x:v>CPLM 4.0; GlycateBase static validation set</x:v>
      </x:c>
      <x:c r="I42" s="150" t="str">
        <x:v>current lysine PTM database plus static experimental dataset</x:v>
      </x:c>
      <x:c r="J42" s="151" t="str">
        <x:v>ACTIVE_MAINTAINED_PLUS_STATIC</x:v>
      </x:c>
      <x:c r="K42" s="150" t="str">
        <x:v>yes</x:v>
      </x:c>
      <x:c r="L42" s="168" t="n">
        <x:v>3106</x:v>
      </x:c>
      <x:c r="M42" s="150" t="str">
        <x:v>glycated proteins in CPLM type view</x:v>
      </x:c>
      <x:c r="N42" s="151" t="str">
        <x:v>2025-02-10</x:v>
      </x:c>
      <x:c r="O42" s="150" t="str">
        <x:v>ACTIVE_NARROW_MULTI_FAMILY_SITE_DB</x:v>
      </x:c>
      <x:c r="P42" s="150" t="str">
        <x:v>CPLM and GlycateBase official sources; accessed 2026-08-14</x:v>
      </x:c>
      <x:c r="Q42" s="185" t="str">
        <x:v>https://cplm.biocuckoo.cn/Browse.php</x:v>
      </x:c>
      <x:c r="R42" s="150" t="str">
        <x:v>Current CPLM mapping covers glycation broadly; the merged family also includes stable AGE children such as carboxyethyllysine. CPLM separately reports 7 proteins under carboxyethylation; do not add overlapping protein counts.</x:v>
      </x:c>
    </x:row>
    <x:row r="43" ht="33" customHeight="1">
      <x:c r="A43" s="157" t="str">
        <x:v>ADJ042</x:v>
      </x:c>
      <x:c r="B43" s="158" t="str">
        <x:v>Protein glycosylation</x:v>
      </x:c>
      <x:c r="C43" s="158" t="str">
        <x:v>Glycosylation and glycation</x:v>
      </x:c>
      <x:c r="D43" s="159" t="n">
        <x:v>1</x:v>
      </x:c>
      <x:c r="E43" s="159" t="n">
        <x:v>1</x:v>
      </x:c>
      <x:c r="F43" s="159" t="n">
        <x:v>1</x:v>
      </x:c>
      <x:c r="G43" s="159" t="n">
        <x:v>1</x:v>
      </x:c>
      <x:c r="H43" s="158" t="str">
        <x:v>GlyGen 2.10.1; linkage-specific resources where available</x:v>
      </x:c>
      <x:c r="I43" s="158" t="str">
        <x:v>current glycosylation-centric knowledgebase with explicit evidence labels</x:v>
      </x:c>
      <x:c r="J43" s="159" t="str">
        <x:v>ACTIVE_MAINTAINED_FILTERED</x:v>
      </x:c>
      <x:c r="K43" s="158" t="str">
        <x:v>yes in the reported column</x:v>
      </x:c>
      <x:c r="L43" s="170" t="n">
        <x:v>63297</x:v>
      </x:c>
      <x:c r="M43" s="158" t="str">
        <x:v>reported C-, N- and O-linked site annotations summed from GlyGen subtype rows; not guaranteed unique</x:v>
      </x:c>
      <x:c r="N43" s="159" t="str">
        <x:v>GlyGen 2.10.1 / 2026 update paper</x:v>
      </x:c>
      <x:c r="O43" s="158" t="str">
        <x:v>ACTIVE_GLYCO_RESOURCE_REPORTED_FILTER</x:v>
      </x:c>
      <x:c r="P43" s="158" t="str">
        <x:v>GlyGen current release/update paper plus O-GlcNAcAtlas, GlyConnect and ProGlycProt cross-checks; accessed 2026-08-14</x:v>
      </x:c>
      <x:c r="Q43" s="184" t="str">
        <x:v>https://pmc.ncbi.nlm.nih.gov/articles/PMC13345530/</x:v>
      </x:c>
      <x:c r="R43" s="158" t="str">
        <x:v>Exact subtype sum: N-linked 20,227 + O-linked 43,000 + C-mannosylation 70. S-linked and arginine-linked coverage is partial; glycoforms/branching are child fields.</x:v>
      </x:c>
    </x:row>
    <x:row r="44" ht="33" customHeight="1">
      <x:c r="A44" s="149" t="str">
        <x:v>ADJ043</x:v>
      </x:c>
      <x:c r="B44" s="150" t="str">
        <x:v>Cholesterylation</x:v>
      </x:c>
      <x:c r="C44" s="150" t="str">
        <x:v>Lipidation</x:v>
      </x:c>
      <x:c r="D44" s="151" t="n">
        <x:v>1</x:v>
      </x:c>
      <x:c r="E44" s="151" t="n">
        <x:v>0</x:v>
      </x:c>
      <x:c r="F44" s="151" t="n">
        <x:v>0</x:v>
      </x:c>
      <x:c r="G44" s="151" t="n">
        <x:v>0</x:v>
      </x:c>
      <x:c r="H44" s="150" t="str">
        <x:v>dbPTM 2025 general integrator</x:v>
      </x:c>
      <x:c r="I44" s="150" t="str">
        <x:v>general PTM integrator</x:v>
      </x:c>
      <x:c r="J44" s="151" t="str">
        <x:v>GENERAL_INTEGRATOR_ONLY</x:v>
      </x:c>
      <x:c r="K44" s="150" t="str">
        <x:v>yes in a general integrator; no dedicated database found</x:v>
      </x:c>
      <x:c r="L44" s="168" t="n">
        <x:v>4</x:v>
      </x:c>
      <x:c r="M44" s="150" t="str">
        <x:v>experimental sites in the fixed dbPTM Release 2024 statistics table</x:v>
      </x:c>
      <x:c r="N44" s="151" t="str">
        <x:v>dbPTM Release 2024 table; accessed 2026-08-14</x:v>
      </x:c>
      <x:c r="O44" s="150" t="str">
        <x:v>GENERAL_INTEGRATOR_ONLY_NO_DEDICATED_DB</x:v>
      </x:c>
      <x:c r="P44" s="150" t="str">
        <x:v>Official dedicated-resource names, dbPTM/UniProt/ProteomeScout cross-checks, and primary-paper search; completed 2026-08-14</x:v>
      </x:c>
      <x:c r="Q44" s="185" t="str">
        <x:v>https://biomics.lab.nycu.edu.tw/dbPTM/statistics.php</x:v>
      </x:c>
      <x:c r="R44" s="150" t="str">
        <x:v>Putative sites are excluded. A zero means zero experimental rows in this fixed table, not absence of the PTM from biology.</x:v>
      </x:c>
    </x:row>
    <x:row r="45" ht="33" customHeight="1">
      <x:c r="A45" s="157" t="str">
        <x:v>ADJ044</x:v>
      </x:c>
      <x:c r="B45" s="158" t="str">
        <x:v>GPI anchoring</x:v>
      </x:c>
      <x:c r="C45" s="158" t="str">
        <x:v>Lipidation</x:v>
      </x:c>
      <x:c r="D45" s="159" t="n">
        <x:v>1</x:v>
      </x:c>
      <x:c r="E45" s="159" t="n">
        <x:v>1</x:v>
      </x:c>
      <x:c r="F45" s="159" t="n">
        <x:v>1</x:v>
      </x:c>
      <x:c r="G45" s="159" t="n">
        <x:v>0</x:v>
      </x:c>
      <x:c r="H45" s="158" t="str">
        <x:v>GPI-AP Database</x:v>
      </x:c>
      <x:c r="I45" s="158" t="str">
        <x:v>current mixed annotation/prediction database</x:v>
      </x:c>
      <x:c r="J45" s="159" t="str">
        <x:v>ACTIVE_MIXED_NO_STRICT_SITE_COUNT</x:v>
      </x:c>
      <x:c r="K45" s="158" t="str">
        <x:v>reviewed protein-level GPI-anchor annotations; omega sites predicted/probable</x:v>
      </x:c>
      <x:c r="L45" s="170" t="n">
        <x:v>139</x:v>
      </x:c>
      <x:c r="M45" s="158" t="str">
        <x:v>reviewed human proteins annotated as GPI anchored</x:v>
      </x:c>
      <x:c r="N45" s="159" t="str">
        <x:v>page accessed 2026-08-14</x:v>
      </x:c>
      <x:c r="O45" s="158" t="str">
        <x:v>LIVE_DEDICATED_MIXED_RESOURCE_NO_EXPERIMENTAL_SITE_DENOMINATOR</x:v>
      </x:c>
      <x:c r="P45" s="158" t="str">
        <x:v>Official GPI-AP Google Site and component-source descriptions; accessed 2026-08-14</x:v>
      </x:c>
      <x:c r="Q45" s="184" t="str">
        <x:v>https://sites.google.com/view/gpi-ap-database</x:v>
      </x:c>
      <x:c r="R45" s="158" t="str">
        <x:v>644 merged entries; 139 is a protein count, not experimentally resolved omega sites.</x:v>
      </x:c>
    </x:row>
    <x:row r="46" ht="33" customHeight="1">
      <x:c r="A46" s="149" t="str">
        <x:v>ADJ045</x:v>
      </x:c>
      <x:c r="B46" s="150" t="str">
        <x:v>Hydroxyceramide ester</x:v>
      </x:c>
      <x:c r="C46" s="150" t="str">
        <x:v>Lipidation</x:v>
      </x:c>
      <x:c r="D46" s="151" t="n">
        <x:v>1</x:v>
      </x:c>
      <x:c r="E46" s="151" t="n">
        <x:v>0</x:v>
      </x:c>
      <x:c r="F46" s="151" t="n">
        <x:v>0</x:v>
      </x:c>
      <x:c r="G46" s="151" t="n">
        <x:v>0</x:v>
      </x:c>
      <x:c r="H46" s="150" t="str">
        <x:v>dbPTM 2025 general integrator</x:v>
      </x:c>
      <x:c r="I46" s="150" t="str">
        <x:v>general PTM integrator</x:v>
      </x:c>
      <x:c r="J46" s="151" t="str">
        <x:v>GENERAL_INTEGRATOR_ONLY</x:v>
      </x:c>
      <x:c r="K46" s="150" t="str">
        <x:v>yes in a general integrator; no dedicated database found</x:v>
      </x:c>
      <x:c r="L46" s="168" t="n">
        <x:v>3</x:v>
      </x:c>
      <x:c r="M46" s="150" t="str">
        <x:v>experimental sites in the fixed dbPTM Release 2024 statistics table</x:v>
      </x:c>
      <x:c r="N46" s="151" t="str">
        <x:v>dbPTM Release 2024 table; accessed 2026-08-14</x:v>
      </x:c>
      <x:c r="O46" s="150" t="str">
        <x:v>GENERAL_INTEGRATOR_ONLY_NO_DEDICATED_DB</x:v>
      </x:c>
      <x:c r="P46" s="150" t="str">
        <x:v>Official dedicated-resource names, dbPTM/UniProt/ProteomeScout cross-checks, and primary-paper search; completed 2026-08-14</x:v>
      </x:c>
      <x:c r="Q46" s="185" t="str">
        <x:v>https://biomics.lab.nycu.edu.tw/dbPTM/statistics.php</x:v>
      </x:c>
      <x:c r="R46" s="150" t="str">
        <x:v>Putative sites are excluded. A zero means zero experimental rows in this fixed table, not absence of the PTM from biology.</x:v>
      </x:c>
    </x:row>
    <x:row r="47" ht="33" customHeight="1">
      <x:c r="A47" s="157" t="str">
        <x:v>ADJ046</x:v>
      </x:c>
      <x:c r="B47" s="158" t="str">
        <x:v>Phosphatidylethanolamine amidation</x:v>
      </x:c>
      <x:c r="C47" s="158" t="str">
        <x:v>Lipidation</x:v>
      </x:c>
      <x:c r="D47" s="159" t="n">
        <x:v>1</x:v>
      </x:c>
      <x:c r="E47" s="159" t="n">
        <x:v>0</x:v>
      </x:c>
      <x:c r="F47" s="159" t="n">
        <x:v>0</x:v>
      </x:c>
      <x:c r="G47" s="159" t="n">
        <x:v>0</x:v>
      </x:c>
      <x:c r="H47" s="158" t="str">
        <x:v>dbPTM 2025 general integrator</x:v>
      </x:c>
      <x:c r="I47" s="158" t="str">
        <x:v>general PTM integrator</x:v>
      </x:c>
      <x:c r="J47" s="159" t="str">
        <x:v>GENERAL_INTEGRATOR_ONLY</x:v>
      </x:c>
      <x:c r="K47" s="158" t="str">
        <x:v>yes in a general integrator; no dedicated database found</x:v>
      </x:c>
      <x:c r="L47" s="170" t="n">
        <x:v>9</x:v>
      </x:c>
      <x:c r="M47" s="158" t="str">
        <x:v>experimental sites in the fixed dbPTM Release 2024 statistics table</x:v>
      </x:c>
      <x:c r="N47" s="159" t="str">
        <x:v>dbPTM Release 2024 table; accessed 2026-08-14</x:v>
      </x:c>
      <x:c r="O47" s="158" t="str">
        <x:v>GENERAL_INTEGRATOR_ONLY_NO_DEDICATED_DB</x:v>
      </x:c>
      <x:c r="P47" s="158" t="str">
        <x:v>Official dedicated-resource names, dbPTM/UniProt/ProteomeScout cross-checks, and primary-paper search; completed 2026-08-14</x:v>
      </x:c>
      <x:c r="Q47" s="184" t="str">
        <x:v>https://biomics.lab.nycu.edu.tw/dbPTM/statistics.php</x:v>
      </x:c>
      <x:c r="R47" s="158" t="str">
        <x:v>Putative sites are excluded. A zero means zero experimental rows in this fixed table, not absence of the PTM from biology.</x:v>
      </x:c>
    </x:row>
    <x:row r="48" ht="33" customHeight="1">
      <x:c r="A48" s="149" t="str">
        <x:v>ADJ047</x:v>
      </x:c>
      <x:c r="B48" s="150" t="str">
        <x:v>Prenylation</x:v>
      </x:c>
      <x:c r="C48" s="150" t="str">
        <x:v>Lipidation</x:v>
      </x:c>
      <x:c r="D48" s="151" t="n">
        <x:v>1</x:v>
      </x:c>
      <x:c r="E48" s="151" t="n">
        <x:v>1</x:v>
      </x:c>
      <x:c r="F48" s="151" t="n">
        <x:v>1</x:v>
      </x:c>
      <x:c r="G48" s="151" t="n">
        <x:v>0</x:v>
      </x:c>
      <x:c r="H48" s="150" t="str">
        <x:v>PRENbase</x:v>
      </x:c>
      <x:c r="I48" s="150" t="str">
        <x:v>dedicated mixed experimental/prediction prenylation database</x:v>
      </x:c>
      <x:c r="J48" s="151" t="str">
        <x:v>LIVE_AGING_MIXED</x:v>
      </x:c>
      <x:c r="K48" s="150" t="str">
        <x:v>experimental protein status, but no strict current residue-site denominator</x:v>
      </x:c>
      <x:c r="L48" s="168" t="n">
        <x:v>113</x:v>
      </x:c>
      <x:c r="M48" s="150" t="str">
        <x:v>experimentally verified prenylated proteins across PRENbase routes</x:v>
      </x:c>
      <x:c r="N48" s="151" t="str">
        <x:v>2007 publication; portal checked 2026-08-14</x:v>
      </x:c>
      <x:c r="O48" s="150" t="str">
        <x:v>LIVE_AGING_DEDICATED_MIXED_RESOURCE</x:v>
      </x:c>
      <x:c r="P48" s="150" t="str">
        <x:v>PRENbase official portal and primary paper; accessed 2026-08-14</x:v>
      </x:c>
      <x:c r="Q48" s="185" t="str">
        <x:v>https://mendel.imp.ac.at/PrePS/PRENbase/</x:v>
      </x:c>
      <x:c r="R48" s="150" t="str">
        <x:v>113 experimentally verified prenylated proteins is shared across farnesylation, GGT1 and GGT2 routes; it is not a residue-site count and cannot be split by donor child.</x:v>
      </x:c>
    </x:row>
    <x:row r="49" ht="33" customHeight="1">
      <x:c r="A49" s="157" t="str">
        <x:v>ADJ048</x:v>
      </x:c>
      <x:c r="B49" s="158" t="str">
        <x:v>Protein fatty acylation</x:v>
      </x:c>
      <x:c r="C49" s="158" t="str">
        <x:v>Lipidation</x:v>
      </x:c>
      <x:c r="D49" s="159" t="n">
        <x:v>1</x:v>
      </x:c>
      <x:c r="E49" s="159" t="n">
        <x:v>1</x:v>
      </x:c>
      <x:c r="F49" s="159" t="n">
        <x:v>1</x:v>
      </x:c>
      <x:c r="G49" s="159" t="n">
        <x:v>1</x:v>
      </x:c>
      <x:c r="H49" s="158" t="str">
        <x:v>dbSNO 3.0 S-palmitoylation subset; Plant PTM Viewer 2.0 and MYRbase partial children</x:v>
      </x:c>
      <x:c r="I49" s="158" t="str">
        <x:v>current narrow cysteine-PTM site database</x:v>
      </x:c>
      <x:c r="J49" s="159" t="str">
        <x:v>ACTIVE_MAINTAINED_PARTIAL_CHILD</x:v>
      </x:c>
      <x:c r="K49" s="158" t="str">
        <x:v>yes for S-palmitoylation; other chain/linkage children are partial</x:v>
      </x:c>
      <x:c r="L49" s="170" t="n">
        <x:v>10239</x:v>
      </x:c>
      <x:c r="M49" s="158" t="str">
        <x:v>S-palmitoylation sites</x:v>
      </x:c>
      <x:c r="N49" s="159" t="str">
        <x:v>Swiss-Prot 2025-06 basis</x:v>
      </x:c>
      <x:c r="O49" s="158" t="str">
        <x:v>ACTIVE_DEDICATED_SUBTYPE_SITE_COVERAGE</x:v>
      </x:c>
      <x:c r="P49" s="158" t="str">
        <x:v>dbSNO official statistics plus SwissPalm primary snapshot; accessed 2026-08-14</x:v>
      </x:c>
      <x:c r="Q49" s="184" t="str">
        <x:v>https://biomics.lab.nycu.edu.tw/dbSNO/statistics.php</x:v>
      </x:c>
      <x:c r="R49" s="158" t="str">
        <x:v>Exact 10,239 is S-palmitoylation only. The merged family additionally includes N/O acylation, myristoylation and other chain lengths; do not present the subtype count as full-family coverage.</x:v>
      </x:c>
    </x:row>
    <x:row r="50" ht="33" customHeight="1">
      <x:c r="A50" s="149" t="str">
        <x:v>ADJ049</x:v>
      </x:c>
      <x:c r="B50" s="150" t="str">
        <x:v>S-archaeol</x:v>
      </x:c>
      <x:c r="C50" s="150" t="str">
        <x:v>Lipidation</x:v>
      </x:c>
      <x:c r="D50" s="151" t="n">
        <x:v>1</x:v>
      </x:c>
      <x:c r="E50" s="151" t="n">
        <x:v>0</x:v>
      </x:c>
      <x:c r="F50" s="151" t="n">
        <x:v>0</x:v>
      </x:c>
      <x:c r="G50" s="151" t="n">
        <x:v>0</x:v>
      </x:c>
      <x:c r="H50" s="150" t="str">
        <x:v>dbPTM 2025 general integrator</x:v>
      </x:c>
      <x:c r="I50" s="150" t="str">
        <x:v>general PTM integrator</x:v>
      </x:c>
      <x:c r="J50" s="151" t="str">
        <x:v>GENERAL_INTEGRATOR_ONLY</x:v>
      </x:c>
      <x:c r="K50" s="150" t="str">
        <x:v>yes in a general integrator; no dedicated database found</x:v>
      </x:c>
      <x:c r="L50" s="168" t="n">
        <x:v>1</x:v>
      </x:c>
      <x:c r="M50" s="150" t="str">
        <x:v>experimental sites in the fixed dbPTM Release 2024 statistics table</x:v>
      </x:c>
      <x:c r="N50" s="151" t="str">
        <x:v>dbPTM Release 2024 table; accessed 2026-08-14</x:v>
      </x:c>
      <x:c r="O50" s="150" t="str">
        <x:v>GENERAL_INTEGRATOR_ONLY_NO_DEDICATED_DB</x:v>
      </x:c>
      <x:c r="P50" s="150" t="str">
        <x:v>Official dedicated-resource names, dbPTM/UniProt/ProteomeScout cross-checks, and primary-paper search; completed 2026-08-14</x:v>
      </x:c>
      <x:c r="Q50" s="185" t="str">
        <x:v>https://biomics.lab.nycu.edu.tw/dbPTM/statistics.php</x:v>
      </x:c>
      <x:c r="R50" s="150" t="str">
        <x:v>Putative sites are excluded. A zero means zero experimental rows in this fixed table, not absence of the PTM from biology.</x:v>
      </x:c>
    </x:row>
    <x:row r="51" ht="33" customHeight="1">
      <x:c r="A51" s="157" t="str">
        <x:v>ADJ050</x:v>
      </x:c>
      <x:c r="B51" s="158" t="str">
        <x:v>S-diacylglycerol</x:v>
      </x:c>
      <x:c r="C51" s="158" t="str">
        <x:v>Lipidation</x:v>
      </x:c>
      <x:c r="D51" s="159" t="n">
        <x:v>1</x:v>
      </x:c>
      <x:c r="E51" s="159" t="n">
        <x:v>0</x:v>
      </x:c>
      <x:c r="F51" s="159" t="n">
        <x:v>0</x:v>
      </x:c>
      <x:c r="G51" s="159" t="n">
        <x:v>0</x:v>
      </x:c>
      <x:c r="H51" s="158" t="str">
        <x:v>DOLOP</x:v>
      </x:c>
      <x:c r="I51" s="158" t="str">
        <x:v>live aging bacterial lipoprotein sequence database with mixed predicted and experimental entries; not a residue-site atlas</x:v>
      </x:c>
      <x:c r="J51" s="159" t="str">
        <x:v>LIVE_AGING</x:v>
      </x:c>
      <x:c r="K51" s="158" t="str">
        <x:v>mixed; no experimental residue-site inventory</x:v>
      </x:c>
      <x:c r="L51" s="170" t="n">
        <x:v>278</x:v>
      </x:c>
      <x:c r="M51" s="158" t="str">
        <x:v>distinct bacterial lipoprotein entries from 234 genomes; entries are not experimentally confirmed modification sites</x:v>
      </x:c>
      <x:c r="N51" s="159" t="str">
        <x:v>2006 database paper; live list accessed 2026-08-14</x:v>
      </x:c>
      <x:c r="O51" s="158" t="str">
        <x:v>LIVE_AGING_NARROW_PROTEIN_DB_NOT_EXPERIMENTAL_SITE_ATLAS</x:v>
      </x:c>
      <x:c r="P51" s="158" t="str">
        <x:v>DOLOP official live list and primary database paper; dbPTM official statistics; checked 2026-08-14</x:v>
      </x:c>
      <x:c r="Q51" s="184" t="str">
        <x:v>https://www.mrc-lmb.cam.ac.uk/genomes/dolop/list.shtml | https://pmc.ncbi.nlm.nih.gov/articles/PMC1446993/ | https://biomics.lab.nycu.edu.tw/dbPTM/statistics.php</x:v>
      </x:c>
      <x:c r="R51" s="158" t="str">
        <x:v>dbPTM Release 2024 reports 58 experimental S-diacylglycerol sites in its general integrator. DOLOP is chemically relevant but cannot be counted as a dedicated experimental residue-site database.</x:v>
      </x:c>
    </x:row>
    <x:row r="52" ht="33" customHeight="1">
      <x:c r="A52" s="149" t="str">
        <x:v>ADJ051</x:v>
      </x:c>
      <x:c r="B52" s="150" t="str">
        <x:v>ATG12 conjugation</x:v>
      </x:c>
      <x:c r="C52" s="150" t="str">
        <x:v>Protein, peptide, and nucleic-acid conjugation</x:v>
      </x:c>
      <x:c r="D52" s="151" t="n">
        <x:v>1</x:v>
      </x:c>
      <x:c r="E52" s="151" t="n">
        <x:v>0</x:v>
      </x:c>
      <x:c r="F52" s="151" t="n">
        <x:v>0</x:v>
      </x:c>
      <x:c r="G52" s="151" t="n">
        <x:v>0</x:v>
      </x:c>
      <x:c r="H52" s="150" t="str">
        <x:v>none dedicated found</x:v>
      </x:c>
      <x:c r="I52" s="150" t="str">
        <x:v>targeted database, atlas, and primary-literature search</x:v>
      </x:c>
      <x:c r="J52" s="151" t="str">
        <x:v>NONE_FOUND</x:v>
      </x:c>
      <x:c r="K52" s="150" t="str">
        <x:v>no dedicated residue-site inventory</x:v>
      </x:c>
      <x:c r="L52" s="168" t="str">
        <x:v>NR</x:v>
      </x:c>
      <x:c r="M52" s="150" t="str">
        <x:v>no exact family-level count in a dedicated resource</x:v>
      </x:c>
      <x:c r="N52" s="151" t="str">
        <x:v>search completed 2026-08-14</x:v>
      </x:c>
      <x:c r="O52" s="150" t="str">
        <x:v>SEARCHED_NO_DEDICATED_EXPERIMENTAL_SITE_RESOURCE</x:v>
      </x:c>
      <x:c r="P52" s="150" t="str">
        <x:v>ATG12 conjugation literature and targeted resource search; checked 2026-08-14</x:v>
      </x:c>
      <x:c r="Q52" s="185" t="str">
        <x:v>https://pmc.ncbi.nlm.nih.gov/articles/PMC3596133/</x:v>
      </x:c>
      <x:c r="R52" s="150" t="str">
        <x:v>Mechanistic/substrate literature exists, but no maintained family-specific residue-site atlas was found.</x:v>
      </x:c>
    </x:row>
    <x:row r="53" ht="33" customHeight="1">
      <x:c r="A53" s="157" t="str">
        <x:v>ADJ052</x:v>
      </x:c>
      <x:c r="B53" s="158" t="str">
        <x:v>Bilylation</x:v>
      </x:c>
      <x:c r="C53" s="158" t="str">
        <x:v>Protein, peptide, and nucleic-acid conjugation</x:v>
      </x:c>
      <x:c r="D53" s="159" t="n">
        <x:v>1</x:v>
      </x:c>
      <x:c r="E53" s="159" t="n">
        <x:v>0</x:v>
      </x:c>
      <x:c r="F53" s="159" t="n">
        <x:v>0</x:v>
      </x:c>
      <x:c r="G53" s="159" t="n">
        <x:v>0</x:v>
      </x:c>
      <x:c r="H53" s="158" t="str">
        <x:v>primary experimental study</x:v>
      </x:c>
      <x:c r="I53" s="158" t="str">
        <x:v>recent family-specific primary study; not a maintained database</x:v>
      </x:c>
      <x:c r="J53" s="159" t="str">
        <x:v>PRIMARY_STUDY_ONLY</x:v>
      </x:c>
      <x:c r="K53" s="158" t="str">
        <x:v>yes; covalent conjugation experimentally established</x:v>
      </x:c>
      <x:c r="L53" s="170" t="str">
        <x:v>NR</x:v>
      </x:c>
      <x:c r="M53" s="158" t="str">
        <x:v>no exact family-level count in a dedicated resource</x:v>
      </x:c>
      <x:c r="N53" s="159" t="str">
        <x:v>search completed 2026-08-14</x:v>
      </x:c>
      <x:c r="O53" s="158" t="str">
        <x:v>PRIMARY_STUDY_ONLY_NO_DEDICATED_SITE_DB</x:v>
      </x:c>
      <x:c r="P53" s="158" t="str">
        <x:v>Exact family term plus database, atlas, repository and site-resource searches; dbPTM, ProteomeScout, UniProt and primary literature cross-check; completed 2026-08-14</x:v>
      </x:c>
      <x:c r="Q53" s="184" t="str">
        <x:v>https://doi.org/10.1038/s41586-024-07616-5</x:v>
      </x:c>
      <x:c r="R53" s="158" t="str">
        <x:v>Targeted exact-name database/atlas search found primary experimental evidence but no maintained residue-site resource as of 2026-08-14.</x:v>
      </x:c>
    </x:row>
    <x:row r="54" ht="33" customHeight="1">
      <x:c r="A54" s="149" t="str">
        <x:v>ADJ053</x:v>
      </x:c>
      <x:c r="B54" s="150" t="str">
        <x:v>Bub conjugation</x:v>
      </x:c>
      <x:c r="C54" s="150" t="str">
        <x:v>Protein, peptide, and nucleic-acid conjugation</x:v>
      </x:c>
      <x:c r="D54" s="151" t="n">
        <x:v>1</x:v>
      </x:c>
      <x:c r="E54" s="151" t="n">
        <x:v>0</x:v>
      </x:c>
      <x:c r="F54" s="151" t="n">
        <x:v>0</x:v>
      </x:c>
      <x:c r="G54" s="151" t="n">
        <x:v>0</x:v>
      </x:c>
      <x:c r="H54" s="150" t="str">
        <x:v>primary experimental study</x:v>
      </x:c>
      <x:c r="I54" s="150" t="str">
        <x:v>recent family-specific primary study; not a maintained database</x:v>
      </x:c>
      <x:c r="J54" s="151" t="str">
        <x:v>PRIMARY_STUDY_ONLY</x:v>
      </x:c>
      <x:c r="K54" s="150" t="str">
        <x:v>yes; covalent conjugation experimentally established</x:v>
      </x:c>
      <x:c r="L54" s="168" t="str">
        <x:v>NR</x:v>
      </x:c>
      <x:c r="M54" s="150" t="str">
        <x:v>no exact family-level count in a dedicated resource</x:v>
      </x:c>
      <x:c r="N54" s="151" t="str">
        <x:v>search completed 2026-08-14</x:v>
      </x:c>
      <x:c r="O54" s="150" t="str">
        <x:v>PRIMARY_STUDY_ONLY_NO_DEDICATED_SITE_DB</x:v>
      </x:c>
      <x:c r="P54" s="150" t="str">
        <x:v>Exact family term plus database, atlas, repository and site-resource searches; dbPTM, ProteomeScout, UniProt and primary literature cross-check; completed 2026-08-14</x:v>
      </x:c>
      <x:c r="Q54" s="185" t="str">
        <x:v>https://doi.org/10.1038/s41594-025-01696-1</x:v>
      </x:c>
      <x:c r="R54" s="150" t="str">
        <x:v>Targeted exact-name database/atlas search found primary experimental evidence but no maintained residue-site resource as of 2026-08-14.</x:v>
      </x:c>
    </x:row>
    <x:row r="55" ht="33" customHeight="1">
      <x:c r="A55" s="157" t="str">
        <x:v>ADJ054</x:v>
      </x:c>
      <x:c r="B55" s="158" t="str">
        <x:v>cGASylation</x:v>
      </x:c>
      <x:c r="C55" s="158" t="str">
        <x:v>Protein, peptide, and nucleic-acid conjugation</x:v>
      </x:c>
      <x:c r="D55" s="159" t="n">
        <x:v>1</x:v>
      </x:c>
      <x:c r="E55" s="159" t="n">
        <x:v>0</x:v>
      </x:c>
      <x:c r="F55" s="159" t="n">
        <x:v>0</x:v>
      </x:c>
      <x:c r="G55" s="159" t="n">
        <x:v>0</x:v>
      </x:c>
      <x:c r="H55" s="158" t="str">
        <x:v>primary experimental study</x:v>
      </x:c>
      <x:c r="I55" s="158" t="str">
        <x:v>recent family-specific primary study; not a maintained database</x:v>
      </x:c>
      <x:c r="J55" s="159" t="str">
        <x:v>PRIMARY_STUDY_ONLY</x:v>
      </x:c>
      <x:c r="K55" s="158" t="str">
        <x:v>yes; covalent conjugation experimentally established</x:v>
      </x:c>
      <x:c r="L55" s="170" t="n">
        <x:v>130</x:v>
      </x:c>
      <x:c r="M55" s="158" t="str">
        <x:v>lysine target conjugation sites in the primary study</x:v>
      </x:c>
      <x:c r="N55" s="159" t="str">
        <x:v>2023 primary study</x:v>
      </x:c>
      <x:c r="O55" s="158" t="str">
        <x:v>PRIMARY_STUDY_ONLY_NO_DEDICATED_SITE_DB</x:v>
      </x:c>
      <x:c r="P55" s="158" t="str">
        <x:v>Exact family term plus database, atlas, repository and site-resource searches; dbPTM, ProteomeScout, UniProt and primary literature cross-check; completed 2026-08-14</x:v>
      </x:c>
      <x:c r="Q55" s="184" t="str">
        <x:v>https://doi.org/10.1038/s41586-023-05862-7</x:v>
      </x:c>
      <x:c r="R55" s="158" t="str">
        <x:v>The primary study reports 130 lysine target sites; 10 cysteine thioester sites are mechanistically separate and are not added. No maintained residue-site resource was found as of 2026-08-14.</x:v>
      </x:c>
    </x:row>
    <x:row r="56" ht="33" customHeight="1">
      <x:c r="A56" s="149" t="str">
        <x:v>ADJ055</x:v>
      </x:c>
      <x:c r="B56" s="150" t="str">
        <x:v>FAT10ylation</x:v>
      </x:c>
      <x:c r="C56" s="150" t="str">
        <x:v>Protein, peptide, and nucleic-acid conjugation</x:v>
      </x:c>
      <x:c r="D56" s="151" t="n">
        <x:v>1</x:v>
      </x:c>
      <x:c r="E56" s="151" t="n">
        <x:v>0</x:v>
      </x:c>
      <x:c r="F56" s="151" t="n">
        <x:v>0</x:v>
      </x:c>
      <x:c r="G56" s="151" t="n">
        <x:v>0</x:v>
      </x:c>
      <x:c r="H56" s="150" t="str">
        <x:v>none dedicated found</x:v>
      </x:c>
      <x:c r="I56" s="150" t="str">
        <x:v>targeted database, atlas, and primary-literature search</x:v>
      </x:c>
      <x:c r="J56" s="151" t="str">
        <x:v>NONE_FOUND</x:v>
      </x:c>
      <x:c r="K56" s="150" t="str">
        <x:v>no dedicated residue-site inventory</x:v>
      </x:c>
      <x:c r="L56" s="168" t="str">
        <x:v>NR</x:v>
      </x:c>
      <x:c r="M56" s="150" t="str">
        <x:v>no exact family-level count in a dedicated resource</x:v>
      </x:c>
      <x:c r="N56" s="151" t="str">
        <x:v>search completed 2026-08-14</x:v>
      </x:c>
      <x:c r="O56" s="150" t="str">
        <x:v>SEARCHED_NO_DEDICATED_EXPERIMENTAL_SITE_RESOURCE</x:v>
      </x:c>
      <x:c r="P56" s="150" t="str">
        <x:v>FAT10 reviews, urPTMdb/TeaProt, BioGRID and general PTM-resource search; checked 2026-08-14</x:v>
      </x:c>
      <x:c r="Q56" s="185" t="str">
        <x:v>https://pmc.ncbi.nlm.nih.gov/articles/PMC5815371/ | https://pubs.acs.org/doi/10.1021/acs.jproteome.2c00048</x:v>
      </x:c>
      <x:c r="R56" s="150" t="str">
        <x:v>urPTMdb/TeaProt is a gene-set/enrichment resource, not a residue-site database. A 2017 BioGRID snapshot is historical and was not promoted to a current exact count.</x:v>
      </x:c>
    </x:row>
    <x:row r="57" ht="33" customHeight="1">
      <x:c r="A57" s="157" t="str">
        <x:v>ADJ056</x:v>
      </x:c>
      <x:c r="B57" s="158" t="str">
        <x:v>ISGylation</x:v>
      </x:c>
      <x:c r="C57" s="158" t="str">
        <x:v>Protein, peptide, and nucleic-acid conjugation</x:v>
      </x:c>
      <x:c r="D57" s="159" t="n">
        <x:v>1</x:v>
      </x:c>
      <x:c r="E57" s="159" t="n">
        <x:v>0</x:v>
      </x:c>
      <x:c r="F57" s="159" t="n">
        <x:v>0</x:v>
      </x:c>
      <x:c r="G57" s="159" t="n">
        <x:v>0</x:v>
      </x:c>
      <x:c r="H57" s="158" t="str">
        <x:v>none dedicated found</x:v>
      </x:c>
      <x:c r="I57" s="158" t="str">
        <x:v>none</x:v>
      </x:c>
      <x:c r="J57" s="159" t="str">
        <x:v>SEARCHED_NO_DEDICATED_RESOURCE</x:v>
      </x:c>
      <x:c r="K57" s="158" t="str">
        <x:v>not resolved in a dedicated database</x:v>
      </x:c>
      <x:c r="L57" s="170" t="str">
        <x:v>NR</x:v>
      </x:c>
      <x:c r="M57" s="158" t="str">
        <x:v>no exact family-level count in a dedicated resource</x:v>
      </x:c>
      <x:c r="N57" s="159" t="str">
        <x:v>search completed 2026-08-14</x:v>
      </x:c>
      <x:c r="O57" s="158" t="str">
        <x:v>SEARCHED_NO_DEDICATED_RESOURCE</x:v>
      </x:c>
      <x:c r="P57" s="158" t="str">
        <x:v>Official dedicated-resource names, dbPTM/UniProt/ProteomeScout cross-checks, and primary-paper search; completed 2026-08-14</x:v>
      </x:c>
      <x:c r="Q57" s="184" t="str">
        <x:v>https://pmc.ncbi.nlm.nih.gov/articles/PMC8834048/</x:v>
      </x:c>
      <x:c r="R57" s="158" t="str">
        <x:v>NR means not reported or no dedicated-resource denominator; it does not mean zero biological sites.</x:v>
      </x:c>
    </x:row>
    <x:row r="58" ht="33" customHeight="1">
      <x:c r="A58" s="149" t="str">
        <x:v>ADJ057</x:v>
      </x:c>
      <x:c r="B58" s="150" t="str">
        <x:v>NEDDylation</x:v>
      </x:c>
      <x:c r="C58" s="150" t="str">
        <x:v>Protein, peptide, and nucleic-acid conjugation</x:v>
      </x:c>
      <x:c r="D58" s="151" t="n">
        <x:v>1</x:v>
      </x:c>
      <x:c r="E58" s="151" t="n">
        <x:v>1</x:v>
      </x:c>
      <x:c r="F58" s="151" t="n">
        <x:v>1</x:v>
      </x:c>
      <x:c r="G58" s="151" t="n">
        <x:v>1</x:v>
      </x:c>
      <x:c r="H58" s="150" t="str">
        <x:v>NEDD8 site atlas PXD022812 plus CPLM 4.0</x:v>
      </x:c>
      <x:c r="I58" s="150" t="str">
        <x:v>dedicated experimental dataset plus current narrow site DB</x:v>
      </x:c>
      <x:c r="J58" s="151" t="str">
        <x:v>SITE_DATASET_PLUS_ACTIVE_DATABASE</x:v>
      </x:c>
      <x:c r="K58" s="150" t="str">
        <x:v>yes</x:v>
      </x:c>
      <x:c r="L58" s="168" t="n">
        <x:v>1101</x:v>
      </x:c>
      <x:c r="M58" s="150" t="str">
        <x:v>unique NEDD8 modification sites</x:v>
      </x:c>
      <x:c r="N58" s="151" t="str">
        <x:v>2021 dataset; CPLM 2025-02-10</x:v>
      </x:c>
      <x:c r="O58" s="150" t="str">
        <x:v>ACTIVE_NARROW_DB_PLUS_SITE_DATASET</x:v>
      </x:c>
      <x:c r="P58" s="150" t="str">
        <x:v>ProteomeXchange dataset, CPLM and primary study; accessed 2026-08-14</x:v>
      </x:c>
      <x:c r="Q58" s="185" t="str">
        <x:v>https://proteomecentral.proteomexchange.org/cgi/GetDataset?ID=PXD022812</x:v>
      </x:c>
      <x:c r="R58" s="150" t="str">
        <x:v>620 proteins in the atlas; CPLM separately lists 28 NEDDylated proteins.</x:v>
      </x:c>
    </x:row>
    <x:row r="59" ht="33" customHeight="1">
      <x:c r="A59" s="157" t="str">
        <x:v>ADJ058</x:v>
      </x:c>
      <x:c r="B59" s="158" t="str">
        <x:v>Peptidoglycan anchoring</x:v>
      </x:c>
      <x:c r="C59" s="158" t="str">
        <x:v>Protein, peptide, and nucleic-acid conjugation</x:v>
      </x:c>
      <x:c r="D59" s="159" t="n">
        <x:v>1</x:v>
      </x:c>
      <x:c r="E59" s="159" t="n">
        <x:v>0</x:v>
      </x:c>
      <x:c r="F59" s="159" t="n">
        <x:v>0</x:v>
      </x:c>
      <x:c r="G59" s="159" t="n">
        <x:v>0</x:v>
      </x:c>
      <x:c r="H59" s="158" t="str">
        <x:v>PROSITE LPxTG motif profile and primary sortase studies</x:v>
      </x:c>
      <x:c r="I59" s="158" t="str">
        <x:v>motif/sequence resource plus primary studies; not an experimental site atlas</x:v>
      </x:c>
      <x:c r="J59" s="159" t="str">
        <x:v>MOTIF_RESOURCE_ONLY</x:v>
      </x:c>
      <x:c r="K59" s="158" t="str">
        <x:v>yes in primary studies; PROSITE matches are annotations/predictions</x:v>
      </x:c>
      <x:c r="L59" s="170" t="str">
        <x:v>NR</x:v>
      </x:c>
      <x:c r="M59" s="158" t="str">
        <x:v>no exact family-level count in a dedicated resource</x:v>
      </x:c>
      <x:c r="N59" s="159" t="str">
        <x:v>search completed 2026-08-14</x:v>
      </x:c>
      <x:c r="O59" s="158" t="str">
        <x:v>NO_DEDICATED_EXPERIMENTAL_SITE_DB</x:v>
      </x:c>
      <x:c r="P59" s="158" t="str">
        <x:v>Exact family term plus database, atlas, repository and site-resource searches; dbPTM, ProteomeScout, UniProt and primary literature cross-check; completed 2026-08-14</x:v>
      </x:c>
      <x:c r="Q59" s="184" t="str">
        <x:v>https://prosite.expasy.org/PDOC00373</x:v>
      </x:c>
      <x:c r="R59" s="158" t="str">
        <x:v>PROSITE and sortase resources document mechanism and motifs, but no curated experimental anchoring-site denominator was found.</x:v>
      </x:c>
    </x:row>
    <x:row r="60" ht="33" customHeight="1">
      <x:c r="A60" s="149" t="str">
        <x:v>ADJ059</x:v>
      </x:c>
      <x:c r="B60" s="150" t="str">
        <x:v>Phosphoribosyl-linked ubiquitination</x:v>
      </x:c>
      <x:c r="C60" s="150" t="str">
        <x:v>Protein, peptide, and nucleic-acid conjugation</x:v>
      </x:c>
      <x:c r="D60" s="151" t="n">
        <x:v>1</x:v>
      </x:c>
      <x:c r="E60" s="151" t="n">
        <x:v>0</x:v>
      </x:c>
      <x:c r="F60" s="151" t="n">
        <x:v>0</x:v>
      </x:c>
      <x:c r="G60" s="151" t="n">
        <x:v>0</x:v>
      </x:c>
      <x:c r="H60" s="150" t="str">
        <x:v>primary experimental study</x:v>
      </x:c>
      <x:c r="I60" s="150" t="str">
        <x:v>recent family-specific primary study; not a maintained database</x:v>
      </x:c>
      <x:c r="J60" s="151" t="str">
        <x:v>PRIMARY_STUDY_ONLY</x:v>
      </x:c>
      <x:c r="K60" s="150" t="str">
        <x:v>yes; covalent conjugation experimentally established</x:v>
      </x:c>
      <x:c r="L60" s="168" t="str">
        <x:v>NR</x:v>
      </x:c>
      <x:c r="M60" s="150" t="str">
        <x:v>no exact family-level count in a dedicated resource</x:v>
      </x:c>
      <x:c r="N60" s="151" t="str">
        <x:v>search completed 2026-08-14</x:v>
      </x:c>
      <x:c r="O60" s="150" t="str">
        <x:v>PRIMARY_STUDY_ONLY_NO_DEDICATED_SITE_DB</x:v>
      </x:c>
      <x:c r="P60" s="150" t="str">
        <x:v>Exact family term plus database, atlas, repository and site-resource searches; dbPTM, ProteomeScout, UniProt and primary literature cross-check; completed 2026-08-14</x:v>
      </x:c>
      <x:c r="Q60" s="185" t="str">
        <x:v>https://doi.org/10.1016/j.molcel.2019.10.019</x:v>
      </x:c>
      <x:c r="R60" s="150" t="str">
        <x:v>Targeted exact-name database/atlas search found primary experimental evidence but no maintained residue-site resource as of 2026-08-14.</x:v>
      </x:c>
    </x:row>
    <x:row r="61" ht="33" customHeight="1">
      <x:c r="A61" s="157" t="str">
        <x:v>ADJ060</x:v>
      </x:c>
      <x:c r="B61" s="158" t="str">
        <x:v>Protein ATG8ylation</x:v>
      </x:c>
      <x:c r="C61" s="158" t="str">
        <x:v>Protein, peptide, and nucleic-acid conjugation</x:v>
      </x:c>
      <x:c r="D61" s="159" t="n">
        <x:v>1</x:v>
      </x:c>
      <x:c r="E61" s="159" t="n">
        <x:v>0</x:v>
      </x:c>
      <x:c r="F61" s="159" t="n">
        <x:v>0</x:v>
      </x:c>
      <x:c r="G61" s="159" t="n">
        <x:v>0</x:v>
      </x:c>
      <x:c r="H61" s="158" t="str">
        <x:v>none dedicated found</x:v>
      </x:c>
      <x:c r="I61" s="158" t="str">
        <x:v>targeted database and atlas search for a newly established conjugation class</x:v>
      </x:c>
      <x:c r="J61" s="159" t="str">
        <x:v>NONE_FOUND</x:v>
      </x:c>
      <x:c r="K61" s="158" t="str">
        <x:v>no dedicated residue-site inventory</x:v>
      </x:c>
      <x:c r="L61" s="170" t="str">
        <x:v>NR</x:v>
      </x:c>
      <x:c r="M61" s="158" t="str">
        <x:v>no exact family-level count in a dedicated resource</x:v>
      </x:c>
      <x:c r="N61" s="159" t="str">
        <x:v>search completed 2026-08-14</x:v>
      </x:c>
      <x:c r="O61" s="158" t="str">
        <x:v>SEARCHED_NO_DEDICATED_EXPERIMENTAL_SITE_RESOURCE</x:v>
      </x:c>
      <x:c r="P61" s="158" t="str">
        <x:v>recent primary ATG8ylation literature and targeted resource search; checked 2026-08-14</x:v>
      </x:c>
      <x:c r="Q61" s="184" t="str">
        <x:v>https://pubmed.ncbi.nlm.nih.gov/41187061/</x:v>
      </x:c>
      <x:c r="R61" s="158" t="str">
        <x:v>Recent primary work establishes protein ATG8ylation, but no maintained residue-site database or atlas was found. The recency of the class makes absence of a dedicated resource unsurprising; this is not evidence that no sites exist.</x:v>
      </x:c>
    </x:row>
    <x:row r="62" ht="33" customHeight="1">
      <x:c r="A62" s="149" t="str">
        <x:v>ADJ061</x:v>
      </x:c>
      <x:c r="B62" s="150" t="str">
        <x:v>Pupylation</x:v>
      </x:c>
      <x:c r="C62" s="150" t="str">
        <x:v>Protein, peptide, and nucleic-acid conjugation</x:v>
      </x:c>
      <x:c r="D62" s="151" t="n">
        <x:v>1</x:v>
      </x:c>
      <x:c r="E62" s="151" t="n">
        <x:v>1</x:v>
      </x:c>
      <x:c r="F62" s="151" t="n">
        <x:v>1</x:v>
      </x:c>
      <x:c r="G62" s="151" t="n">
        <x:v>1</x:v>
      </x:c>
      <x:c r="H62" s="150" t="str">
        <x:v>CPLM 4.0</x:v>
      </x:c>
      <x:c r="I62" s="150" t="str">
        <x:v>current narrow multi-family experimental site database</x:v>
      </x:c>
      <x:c r="J62" s="151" t="str">
        <x:v>ACTIVE_MAINTAINED</x:v>
      </x:c>
      <x:c r="K62" s="150" t="str">
        <x:v>yes; underlying residue-level events/sites, while the type view reports proteins</x:v>
      </x:c>
      <x:c r="L62" s="168" t="n">
        <x:v>245</x:v>
      </x:c>
      <x:c r="M62" s="150" t="str">
        <x:v>modified proteins in the CPLM type view</x:v>
      </x:c>
      <x:c r="N62" s="151" t="str">
        <x:v>2025-02-10</x:v>
      </x:c>
      <x:c r="O62" s="150" t="str">
        <x:v>ACTIVE_NARROW_MULTI_FAMILY_SITE_DB</x:v>
      </x:c>
      <x:c r="P62" s="150" t="str">
        <x:v>CPLM official live browse/type views and primary update paper; accessed 2026-08-14</x:v>
      </x:c>
      <x:c r="Q62" s="185" t="str">
        <x:v>https://cplm.biocuckoo.cn/Browse.php</x:v>
      </x:c>
      <x:c r="R62" s="150" t="str">
        <x:v>The displayed family number is proteins, not sites; do not add across types because a protein can carry multiple PTMs.</x:v>
      </x:c>
    </x:row>
    <x:row r="63" ht="33" customHeight="1">
      <x:c r="A63" s="157" t="str">
        <x:v>ADJ062</x:v>
      </x:c>
      <x:c r="B63" s="158" t="str">
        <x:v>RNAylation</x:v>
      </x:c>
      <x:c r="C63" s="158" t="str">
        <x:v>Protein, peptide, and nucleic-acid conjugation</x:v>
      </x:c>
      <x:c r="D63" s="159" t="n">
        <x:v>1</x:v>
      </x:c>
      <x:c r="E63" s="159" t="n">
        <x:v>0</x:v>
      </x:c>
      <x:c r="F63" s="159" t="n">
        <x:v>0</x:v>
      </x:c>
      <x:c r="G63" s="159" t="n">
        <x:v>0</x:v>
      </x:c>
      <x:c r="H63" s="158" t="str">
        <x:v>primary experimental study</x:v>
      </x:c>
      <x:c r="I63" s="158" t="str">
        <x:v>recent family-specific primary study; not a maintained database</x:v>
      </x:c>
      <x:c r="J63" s="159" t="str">
        <x:v>PRIMARY_STUDY_ONLY</x:v>
      </x:c>
      <x:c r="K63" s="158" t="str">
        <x:v>yes; covalent conjugation experimentally established</x:v>
      </x:c>
      <x:c r="L63" s="170" t="str">
        <x:v>NR</x:v>
      </x:c>
      <x:c r="M63" s="158" t="str">
        <x:v>no exact family-level count in a dedicated resource</x:v>
      </x:c>
      <x:c r="N63" s="159" t="str">
        <x:v>search completed 2026-08-14</x:v>
      </x:c>
      <x:c r="O63" s="158" t="str">
        <x:v>PRIMARY_STUDY_ONLY_NO_DEDICATED_SITE_DB</x:v>
      </x:c>
      <x:c r="P63" s="158" t="str">
        <x:v>Exact family term plus database, atlas, repository and site-resource searches; dbPTM, ProteomeScout, UniProt and primary literature cross-check; completed 2026-08-14</x:v>
      </x:c>
      <x:c r="Q63" s="184" t="str">
        <x:v>https://doi.org/10.1038/s41586-023-06429-2</x:v>
      </x:c>
      <x:c r="R63" s="158" t="str">
        <x:v>Targeted exact-name database/atlas search found primary experimental evidence but no maintained residue-site resource as of 2026-08-14.</x:v>
      </x:c>
    </x:row>
    <x:row r="64" ht="33" customHeight="1">
      <x:c r="A64" s="149" t="str">
        <x:v>ADJ063</x:v>
      </x:c>
      <x:c r="B64" s="150" t="str">
        <x:v>SAMPylation</x:v>
      </x:c>
      <x:c r="C64" s="150" t="str">
        <x:v>Protein, peptide, and nucleic-acid conjugation</x:v>
      </x:c>
      <x:c r="D64" s="151" t="n">
        <x:v>1</x:v>
      </x:c>
      <x:c r="E64" s="151" t="n">
        <x:v>0</x:v>
      </x:c>
      <x:c r="F64" s="151" t="n">
        <x:v>0</x:v>
      </x:c>
      <x:c r="G64" s="151" t="n">
        <x:v>0</x:v>
      </x:c>
      <x:c r="H64" s="150" t="str">
        <x:v>none dedicated found</x:v>
      </x:c>
      <x:c r="I64" s="150" t="str">
        <x:v>targeted database, atlas, and primary-literature search</x:v>
      </x:c>
      <x:c r="J64" s="151" t="str">
        <x:v>NONE_FOUND</x:v>
      </x:c>
      <x:c r="K64" s="150" t="str">
        <x:v>experimental sites exist in individual studies; no database inventory</x:v>
      </x:c>
      <x:c r="L64" s="168" t="str">
        <x:v>NR</x:v>
      </x:c>
      <x:c r="M64" s="150" t="str">
        <x:v>no exact family-level count in a dedicated resource</x:v>
      </x:c>
      <x:c r="N64" s="151" t="str">
        <x:v>search completed 2026-08-14</x:v>
      </x:c>
      <x:c r="O64" s="150" t="str">
        <x:v>SEARCHED_NO_DEDICATED_EXPERIMENTAL_SITE_RESOURCE</x:v>
      </x:c>
      <x:c r="P64" s="150" t="str">
        <x:v>SAMPylation primary studies and targeted database search; checked 2026-08-14</x:v>
      </x:c>
      <x:c r="Q64" s="185" t="str">
        <x:v>https://pmc.ncbi.nlm.nih.gov/articles/PMC2872088/ | https://pmc.ncbi.nlm.nih.gov/articles/PMC5322722/</x:v>
      </x:c>
      <x:c r="R64" s="150" t="str">
        <x:v>Individual studies mapped 11 SAMP2 sites and 23 SAMP1 lysines on 11 proteins; these are study-specific results, not a maintained database denominator. Study counts were not entered as a database count.</x:v>
      </x:c>
    </x:row>
    <x:row r="65" ht="33" customHeight="1">
      <x:c r="A65" s="157" t="str">
        <x:v>ADJ064</x:v>
      </x:c>
      <x:c r="B65" s="158" t="str">
        <x:v>SUMOylation</x:v>
      </x:c>
      <x:c r="C65" s="158" t="str">
        <x:v>Protein, peptide, and nucleic-acid conjugation</x:v>
      </x:c>
      <x:c r="D65" s="159" t="n">
        <x:v>1</x:v>
      </x:c>
      <x:c r="E65" s="159" t="n">
        <x:v>1</x:v>
      </x:c>
      <x:c r="F65" s="159" t="n">
        <x:v>1</x:v>
      </x:c>
      <x:c r="G65" s="159" t="n">
        <x:v>1</x:v>
      </x:c>
      <x:c r="H65" s="158" t="str">
        <x:v>Human SUMO PeptideAtlas/PTMeXchange plus CPLM 4.0</x:v>
      </x:c>
      <x:c r="I65" s="158" t="str">
        <x:v>current experimental atlas plus current narrow site DB</x:v>
      </x:c>
      <x:c r="J65" s="159" t="str">
        <x:v>ACTIVE_ATLAS_AND_DATABASE</x:v>
      </x:c>
      <x:c r="K65" s="158" t="str">
        <x:v>yes</x:v>
      </x:c>
      <x:c r="L65" s="170" t="n">
        <x:v>35721</x:v>
      </x:c>
      <x:c r="M65" s="158" t="str">
        <x:v>SUMOylation sites passing less than 5 percent FLR in at least one dataset</x:v>
      </x:c>
      <x:c r="N65" s="159" t="str">
        <x:v>build 2025-02; paper 2026</x:v>
      </x:c>
      <x:c r="O65" s="158" t="str">
        <x:v>ACTIVE_ATLAS_AND_NARROW_DATABASE</x:v>
      </x:c>
      <x:c r="P65" s="158" t="str">
        <x:v>PTMeXchange build/paper, CPLM and legacy/predictor resources; accessed 2026-08-14</x:v>
      </x:c>
      <x:c r="Q65" s="184" t="str">
        <x:v>https://www.sciencedirect.com/science/article/pii/S1535947626000678</x:v>
      </x:c>
      <x:c r="R65" s="158" t="str">
        <x:v>6146 proteins. CPLM separately lists 9782 SUMOylated proteins; GPS-SUMO compiled corpus overlaps source databases.</x:v>
      </x:c>
    </x:row>
    <x:row r="66" ht="33" customHeight="1">
      <x:c r="A66" s="149" t="str">
        <x:v>ADJ065</x:v>
      </x:c>
      <x:c r="B66" s="150" t="str">
        <x:v>Ubiquitination</x:v>
      </x:c>
      <x:c r="C66" s="150" t="str">
        <x:v>Protein, peptide, and nucleic-acid conjugation</x:v>
      </x:c>
      <x:c r="D66" s="151" t="n">
        <x:v>1</x:v>
      </x:c>
      <x:c r="E66" s="151" t="n">
        <x:v>1</x:v>
      </x:c>
      <x:c r="F66" s="151" t="n">
        <x:v>1</x:v>
      </x:c>
      <x:c r="G66" s="151" t="n">
        <x:v>1</x:v>
      </x:c>
      <x:c r="H66" s="150" t="str">
        <x:v>Human Ubiquitination PeptideAtlas/PTMeXchange plus CPLM 4.0</x:v>
      </x:c>
      <x:c r="I66" s="150" t="str">
        <x:v>current experimental atlas plus current narrow site DB</x:v>
      </x:c>
      <x:c r="J66" s="151" t="str">
        <x:v>ACTIVE_ATLAS_AND_DATABASE</x:v>
      </x:c>
      <x:c r="K66" s="150" t="str">
        <x:v>yes</x:v>
      </x:c>
      <x:c r="L66" s="168" t="n">
        <x:v>115447</x:v>
      </x:c>
      <x:c r="M66" s="150" t="str">
        <x:v>unique protein-position-residue target site rows</x:v>
      </x:c>
      <x:c r="N66" s="151" t="str">
        <x:v>build 2025-11; public release 2026-04-01</x:v>
      </x:c>
      <x:c r="O66" s="150" t="str">
        <x:v>ACTIVE_ATLAS_AND_NARROW_DATABASE</x:v>
      </x:c>
      <x:c r="P66" s="150" t="str">
        <x:v>Official PTMeXchange build file, CPLM, Ubitome and legacy databases; accessed 2026-08-14</x:v>
      </x:c>
      <x:c r="Q66" s="185" t="str">
        <x:v>https://www.proteomexchange.org/ptmexchange/Files/Human_GSB_Ubiq_all_prots_1106.csv.gz</x:v>
      </x:c>
      <x:c r="R66" s="150" t="str">
        <x:v>44191 Gold + 37451 Silver + 33805 Bronze target sites; 7498 alanine decoys excluded. CPLM separately lists 45625 ubiquitinated proteins.</x:v>
      </x:c>
    </x:row>
    <x:row r="67" ht="33" customHeight="1">
      <x:c r="A67" s="157" t="str">
        <x:v>ADJ066</x:v>
      </x:c>
      <x:c r="B67" s="158" t="str">
        <x:v>UFMylation</x:v>
      </x:c>
      <x:c r="C67" s="158" t="str">
        <x:v>Protein, peptide, and nucleic-acid conjugation</x:v>
      </x:c>
      <x:c r="D67" s="159" t="n">
        <x:v>1</x:v>
      </x:c>
      <x:c r="E67" s="159" t="n">
        <x:v>0</x:v>
      </x:c>
      <x:c r="F67" s="159" t="n">
        <x:v>0</x:v>
      </x:c>
      <x:c r="G67" s="159" t="n">
        <x:v>0</x:v>
      </x:c>
      <x:c r="H67" s="158" t="str">
        <x:v>none dedicated found</x:v>
      </x:c>
      <x:c r="I67" s="158" t="str">
        <x:v>targeted database, atlas, and primary-literature search</x:v>
      </x:c>
      <x:c r="J67" s="159" t="str">
        <x:v>NONE_FOUND</x:v>
      </x:c>
      <x:c r="K67" s="158" t="str">
        <x:v>no dedicated residue-site inventory</x:v>
      </x:c>
      <x:c r="L67" s="170" t="str">
        <x:v>NR</x:v>
      </x:c>
      <x:c r="M67" s="158" t="str">
        <x:v>no exact family-level count in a dedicated resource</x:v>
      </x:c>
      <x:c r="N67" s="159" t="str">
        <x:v>search completed 2026-08-14</x:v>
      </x:c>
      <x:c r="O67" s="158" t="str">
        <x:v>SEARCHED_NO_DEDICATED_EXPERIMENTAL_SITE_RESOURCE</x:v>
      </x:c>
      <x:c r="P67" s="158" t="str">
        <x:v>UFMylation reviews, urPTMdb/TeaProt, BioGRID and general PTM-resource search; checked 2026-08-14</x:v>
      </x:c>
      <x:c r="Q67" s="184" t="str">
        <x:v>https://pmc.ncbi.nlm.nih.gov/articles/PMC10648299/ | https://pubs.acs.org/doi/10.1021/acs.jproteome.2c00048</x:v>
      </x:c>
      <x:c r="R67" s="158" t="str">
        <x:v>urPTMdb/TeaProt is a gene-set/enrichment resource for underrepresented PTMs, not a residue-site database; current reviews tabulate substrates but do not provide a maintained site atlas. Old BioGRID PTM-event snapshots were not treated as current family counts.</x:v>
      </x:c>
    </x:row>
    <x:row r="68" ht="33" customHeight="1">
      <x:c r="A68" s="149" t="str">
        <x:v>ADJ067</x:v>
      </x:c>
      <x:c r="B68" s="150" t="str">
        <x:v>Urmylation</x:v>
      </x:c>
      <x:c r="C68" s="150" t="str">
        <x:v>Protein, peptide, and nucleic-acid conjugation</x:v>
      </x:c>
      <x:c r="D68" s="151" t="n">
        <x:v>1</x:v>
      </x:c>
      <x:c r="E68" s="151" t="n">
        <x:v>0</x:v>
      </x:c>
      <x:c r="F68" s="151" t="n">
        <x:v>0</x:v>
      </x:c>
      <x:c r="G68" s="151" t="n">
        <x:v>0</x:v>
      </x:c>
      <x:c r="H68" s="150" t="str">
        <x:v>none dedicated found</x:v>
      </x:c>
      <x:c r="I68" s="150" t="str">
        <x:v>targeted database, atlas, and primary-literature search</x:v>
      </x:c>
      <x:c r="J68" s="151" t="str">
        <x:v>NONE_FOUND</x:v>
      </x:c>
      <x:c r="K68" s="150" t="str">
        <x:v>no dedicated residue-site inventory</x:v>
      </x:c>
      <x:c r="L68" s="168" t="str">
        <x:v>NR</x:v>
      </x:c>
      <x:c r="M68" s="150" t="str">
        <x:v>no exact family-level count in a dedicated resource</x:v>
      </x:c>
      <x:c r="N68" s="151" t="str">
        <x:v>search completed 2026-08-14</x:v>
      </x:c>
      <x:c r="O68" s="150" t="str">
        <x:v>SEARCHED_NO_DEDICATED_EXPERIMENTAL_SITE_RESOURCE</x:v>
      </x:c>
      <x:c r="P68" s="150" t="str">
        <x:v>Urm1/Urmylation reviews and targeted database search; checked 2026-08-14</x:v>
      </x:c>
      <x:c r="Q68" s="185" t="str">
        <x:v>https://pmc.ncbi.nlm.nih.gov/articles/PMC5815371/</x:v>
      </x:c>
      <x:c r="R68" s="150" t="str">
        <x:v>No maintained family-specific experimental residue-site atlas was located.</x:v>
      </x:c>
    </x:row>
    <x:row r="69" ht="33" customHeight="1">
      <x:c r="A69" s="157" t="str">
        <x:v>ADJ068</x:v>
      </x:c>
      <x:c r="B69" s="158" t="str">
        <x:v>Carbonylation</x:v>
      </x:c>
      <x:c r="C69" s="158" t="str">
        <x:v>Redox and reactive chemistry</x:v>
      </x:c>
      <x:c r="D69" s="159" t="n">
        <x:v>1</x:v>
      </x:c>
      <x:c r="E69" s="159" t="n">
        <x:v>1</x:v>
      </x:c>
      <x:c r="F69" s="159" t="n">
        <x:v>1</x:v>
      </x:c>
      <x:c r="G69" s="159" t="n">
        <x:v>1</x:v>
      </x:c>
      <x:c r="H69" s="158" t="str">
        <x:v>Plant PTM Viewer 2.0 current plant subset; CarbonylDB live aging</x:v>
      </x:c>
      <x:c r="I69" s="158" t="str">
        <x:v>live aging dedicated experimental carbonylation-site database</x:v>
      </x:c>
      <x:c r="J69" s="159" t="str">
        <x:v>ACTIVE_CURRENT_PARTIAL_PLUS_LIVE_AGING_DEDICATED</x:v>
      </x:c>
      <x:c r="K69" s="158" t="str">
        <x:v>yes; experimentally confirmed carbonylation sites</x:v>
      </x:c>
      <x:c r="L69" s="170" t="n">
        <x:v>3781</x:v>
      </x:c>
      <x:c r="M69" s="158" t="str">
        <x:v>experimentally confirmed carbonylation sites</x:v>
      </x:c>
      <x:c r="N69" s="159" t="str">
        <x:v>2018-06-26 database snapshot</x:v>
      </x:c>
      <x:c r="O69" s="158" t="str">
        <x:v>ACTIVE_CURRENT_NARROW_DB_PARTIAL_FAMILY</x:v>
      </x:c>
      <x:c r="P69" s="158" t="str">
        <x:v>CarbonylDB portal and primary database paper; checked 2026-08-14</x:v>
      </x:c>
      <x:c r="Q69" s="184" t="str">
        <x:v>https://www.psb.ugent.be/webtools/ptm-viewer/ptm_info.php | https://pmc.ncbi.nlm.nih.gov/articles/PMC6041944/</x:v>
      </x:c>
      <x:c r="R69" s="158" t="str">
        <x:v>3,781 is CarbonylDB 2018 global snapshot; Plant PTM Viewer 2.0 supplies current plant residue rows. Counts are not added.</x:v>
      </x:c>
    </x:row>
    <x:row r="70" ht="33" customHeight="1">
      <x:c r="A70" s="149" t="str">
        <x:v>ADJ069</x:v>
      </x:c>
      <x:c r="B70" s="150" t="str">
        <x:v>Homocysteinylation</x:v>
      </x:c>
      <x:c r="C70" s="150" t="str">
        <x:v>Redox and reactive chemistry</x:v>
      </x:c>
      <x:c r="D70" s="151" t="n">
        <x:v>1</x:v>
      </x:c>
      <x:c r="E70" s="151" t="n">
        <x:v>0</x:v>
      </x:c>
      <x:c r="F70" s="151" t="n">
        <x:v>0</x:v>
      </x:c>
      <x:c r="G70" s="151" t="n">
        <x:v>0</x:v>
      </x:c>
      <x:c r="H70" s="150" t="str">
        <x:v>none dedicated found</x:v>
      </x:c>
      <x:c r="I70" s="150" t="str">
        <x:v>targeted database, atlas, and review search</x:v>
      </x:c>
      <x:c r="J70" s="151" t="str">
        <x:v>NONE_FOUND</x:v>
      </x:c>
      <x:c r="K70" s="150" t="str">
        <x:v>no dedicated residue-site inventory</x:v>
      </x:c>
      <x:c r="L70" s="168" t="str">
        <x:v>NR</x:v>
      </x:c>
      <x:c r="M70" s="150" t="str">
        <x:v>no exact family-level count in a dedicated resource</x:v>
      </x:c>
      <x:c r="N70" s="151" t="str">
        <x:v>search completed 2026-08-14</x:v>
      </x:c>
      <x:c r="O70" s="150" t="str">
        <x:v>SEARCHED_NO_DEDICATED_EXPERIMENTAL_SITE_RESOURCE</x:v>
      </x:c>
      <x:c r="P70" s="150" t="str">
        <x:v>homocysteinylation reviews and PTM-database search; checked 2026-08-14</x:v>
      </x:c>
      <x:c r="Q70" s="185" t="str">
        <x:v>https://pmc.ncbi.nlm.nih.gov/articles/PMC9881069/</x:v>
      </x:c>
      <x:c r="R70" s="150" t="str">
        <x:v>Mechanistic and biomarker literature exists, but no maintained residue-site database or atlas was found.</x:v>
      </x:c>
    </x:row>
    <x:row r="71" ht="33" customHeight="1">
      <x:c r="A71" s="157" t="str">
        <x:v>ADJ070</x:v>
      </x:c>
      <x:c r="B71" s="158" t="str">
        <x:v>Lipoxidation and electrophile adduction</x:v>
      </x:c>
      <x:c r="C71" s="158" t="str">
        <x:v>Redox and reactive chemistry</x:v>
      </x:c>
      <x:c r="D71" s="159" t="n">
        <x:v>1</x:v>
      </x:c>
      <x:c r="E71" s="159" t="n">
        <x:v>1</x:v>
      </x:c>
      <x:c r="F71" s="159" t="n">
        <x:v>0</x:v>
      </x:c>
      <x:c r="G71" s="159" t="n">
        <x:v>0</x:v>
      </x:c>
      <x:c r="H71" s="158" t="str">
        <x:v>ProteomeScout current general integrator; CysModDB historical unavailable</x:v>
      </x:c>
      <x:c r="I71" s="158" t="str">
        <x:v>current general multi-PTM integrator with a narrow HNE-Cys slice plus historical unavailable cysteine-modification database</x:v>
      </x:c>
      <x:c r="J71" s="159" t="str">
        <x:v>GENERAL_INTEGRATOR_ONLY</x:v>
      </x:c>
      <x:c r="K71" s="158" t="str">
        <x:v>yes; partial current general-integrator residue records</x:v>
      </x:c>
      <x:c r="L71" s="170" t="n">
        <x:v>3</x:v>
      </x:c>
      <x:c r="M71" s="158" t="str">
        <x:v>4-hydroxynonenal-conjugated cysteine protein-position records, all species; narrow subtype only</x:v>
      </x:c>
      <x:c r="N71" s="159" t="str">
        <x:v>ProteomeScout TSV Last-Modified 2026-06-02</x:v>
      </x:c>
      <x:c r="O71" s="158" t="str">
        <x:v>HISTORICAL_NARROW_DB_UNAVAILABLE_CURRENT_PARTIAL_COUNT_GENERAL_INTEGRATOR_ONLY</x:v>
      </x:c>
      <x:c r="P71" s="158" t="str">
        <x:v>current ProteomeScout official download, CysModDB primary paper/status, and lipoxidation review; checked 2026-08-14</x:v>
      </x:c>
      <x:c r="Q71" s="184" t="str">
        <x:v>https://proteomescout.research.virginia.edu/downloads | https://pmc.ncbi.nlm.nih.gov/articles/PMC7919664/</x:v>
      </x:c>
      <x:c r="R71" s="158" t="str">
        <x:v>CysModDB historically covered electrophile-related cysteine modifications but is unavailable; its 70,536 all-class total cannot be assigned to this family. The exact count is only the HNE-Cys subtype visible under the current ProteomeScout terminology, not a full-family denominator.</x:v>
      </x:c>
    </x:row>
    <x:row r="72" ht="33" customHeight="1">
      <x:c r="A72" s="149" t="str">
        <x:v>ADJ071</x:v>
      </x:c>
      <x:c r="B72" s="150" t="str">
        <x:v>Nitration</x:v>
      </x:c>
      <x:c r="C72" s="150" t="str">
        <x:v>Redox and reactive chemistry</x:v>
      </x:c>
      <x:c r="D72" s="151" t="n">
        <x:v>1</x:v>
      </x:c>
      <x:c r="E72" s="151" t="n">
        <x:v>0</x:v>
      </x:c>
      <x:c r="F72" s="151" t="n">
        <x:v>0</x:v>
      </x:c>
      <x:c r="G72" s="151" t="n">
        <x:v>0</x:v>
      </x:c>
      <x:c r="H72" s="150" t="str">
        <x:v>DeepNitro embedded experimental corpus</x:v>
      </x:c>
      <x:c r="I72" s="150" t="str">
        <x:v>live aging predictor with a compiled experimental nitration-site corpus; not a dedicated database</x:v>
      </x:c>
      <x:c r="J72" s="151" t="str">
        <x:v>LIVE_AGING</x:v>
      </x:c>
      <x:c r="K72" s="150" t="str">
        <x:v>yes; compiled experimental sites used by the predictor</x:v>
      </x:c>
      <x:c r="L72" s="168" t="n">
        <x:v>1584</x:v>
      </x:c>
      <x:c r="M72" s="150" t="str">
        <x:v>compiled nitration sites: 1,518 Tyr and 66 Trp</x:v>
      </x:c>
      <x:c r="N72" s="151" t="str">
        <x:v>2018 publication; literature cutoff 2015</x:v>
      </x:c>
      <x:c r="O72" s="150" t="str">
        <x:v>LIVE_AGING_PREDICTOR_CORPUS_ONLY_NO_DEDICATED_SITE_DB</x:v>
      </x:c>
      <x:c r="P72" s="150" t="str">
        <x:v>DeepNitro official help and primary paper plus targeted database search; checked 2026-08-14</x:v>
      </x:c>
      <x:c r="Q72" s="185" t="str">
        <x:v>https://www.deepnitro.renlab.org/help.html | https://pmc.ncbi.nlm.nih.gov/articles/PMC6205083/</x:v>
      </x:c>
      <x:c r="R72" s="150" t="str">
        <x:v>The exact corpus count is not evidence of a maintained current nitration database.</x:v>
      </x:c>
    </x:row>
    <x:row r="73" ht="33" customHeight="1">
      <x:c r="A73" s="157" t="str">
        <x:v>ADJ072</x:v>
      </x:c>
      <x:c r="B73" s="158" t="str">
        <x:v>Protein halogenation</x:v>
      </x:c>
      <x:c r="C73" s="158" t="str">
        <x:v>Redox and reactive chemistry</x:v>
      </x:c>
      <x:c r="D73" s="159" t="n">
        <x:v>1</x:v>
      </x:c>
      <x:c r="E73" s="159" t="n">
        <x:v>0</x:v>
      </x:c>
      <x:c r="F73" s="159" t="n">
        <x:v>0</x:v>
      </x:c>
      <x:c r="G73" s="159" t="n">
        <x:v>0</x:v>
      </x:c>
      <x:c r="H73" s="158" t="str">
        <x:v>dbPTM and ProteomeScout general integrators</x:v>
      </x:c>
      <x:c r="I73" s="158" t="str">
        <x:v>current general multi-PTM integrators</x:v>
      </x:c>
      <x:c r="J73" s="159" t="str">
        <x:v>GENERAL_INTEGRATOR_ONLY</x:v>
      </x:c>
      <x:c r="K73" s="158" t="str">
        <x:v>yes for iodine and bromine children; no dedicated halogenation site database</x:v>
      </x:c>
      <x:c r="L73" s="170" t="n">
        <x:v>22</x:v>
      </x:c>
      <x:c r="M73" s="158" t="str">
        <x:v>annotation/site records: dbPTM iodination 19 plus ProteomeScout bromination 3; cross-resource subtype sum</x:v>
      </x:c>
      <x:c r="N73" s="159" t="str">
        <x:v>dbPTM Release 2024 and ProteomeScout TSV 2026-06-02</x:v>
      </x:c>
      <x:c r="O73" s="158" t="str">
        <x:v>GENERAL_INTEGRATOR_ONLY_NO_DEDICATED_DB</x:v>
      </x:c>
      <x:c r="P73" s="158" t="str">
        <x:v>Exact family term plus database, atlas, repository and site-resource searches; dbPTM, ProteomeScout, UniProt and primary literature cross-check; completed 2026-08-14</x:v>
      </x:c>
      <x:c r="Q73" s="184" t="str">
        <x:v>https://biomics.lab.nycu.edu.tw/dbPTM/download.php | https://proteomescout.research.virginia.edu/downloads</x:v>
      </x:c>
      <x:c r="R73" s="158" t="str">
        <x:v>Cross-resource units/provenance differ; the value is a transparent subtype evidence sum, not a deduplicated family total. Chlorination has no dedicated resource.</x:v>
      </x:c>
    </x:row>
    <x:row r="74" ht="33" customHeight="1">
      <x:c r="A74" s="149" t="str">
        <x:v>ADJ073</x:v>
      </x:c>
      <x:c r="B74" s="150" t="str">
        <x:v>Protein S-thiolation (mixed disulfides)</x:v>
      </x:c>
      <x:c r="C74" s="150" t="str">
        <x:v>Redox and reactive chemistry</x:v>
      </x:c>
      <x:c r="D74" s="151" t="n">
        <x:v>1</x:v>
      </x:c>
      <x:c r="E74" s="151" t="n">
        <x:v>1</x:v>
      </x:c>
      <x:c r="F74" s="151" t="n">
        <x:v>1</x:v>
      </x:c>
      <x:c r="G74" s="151" t="n">
        <x:v>1</x:v>
      </x:c>
      <x:c r="H74" s="150" t="str">
        <x:v>dbSNO 3.0 S-glutathionylation child</x:v>
      </x:c>
      <x:c r="I74" s="150" t="str">
        <x:v>current narrow multi-family experimental cysteine-modification site database</x:v>
      </x:c>
      <x:c r="J74" s="151" t="str">
        <x:v>ACTIVE_MAINTAINED_PARTIAL_CHILD</x:v>
      </x:c>
      <x:c r="K74" s="150" t="str">
        <x:v>yes; experimentally supported cysteine PTM instances</x:v>
      </x:c>
      <x:c r="L74" s="168" t="n">
        <x:v>9148</x:v>
      </x:c>
      <x:c r="M74" s="150" t="str">
        <x:v>S-glutathionylation site instances</x:v>
      </x:c>
      <x:c r="N74" s="151" t="str">
        <x:v>dbSNO 3.0 statistics current 2025-06; accessed 2026-08-14</x:v>
      </x:c>
      <x:c r="O74" s="150" t="str">
        <x:v>ACTIVE_NARROW_MULTI_FAMILY_SITE_DB</x:v>
      </x:c>
      <x:c r="P74" s="150" t="str">
        <x:v>dbSNO official statistics and current database paper; checked 2026-08-14</x:v>
      </x:c>
      <x:c r="Q74" s="185" t="str">
        <x:v>https://biomics.lab.nycu.edu.tw/dbSNO/statistics.php</x:v>
      </x:c>
      <x:c r="R74" s="150" t="str">
        <x:v>Positive mapping is partial: 9,148 S-glutathionylation site instances. Cysteinylation, CoAlation, bacillithiolation and mycothiolation children are not fully covered by this count.</x:v>
      </x:c>
    </x:row>
    <x:row r="75" ht="33" customHeight="1">
      <x:c r="A75" s="157" t="str">
        <x:v>ADJ074</x:v>
      </x:c>
      <x:c r="B75" s="158" t="str">
        <x:v>Residue oxidation-state conversion</x:v>
      </x:c>
      <x:c r="C75" s="158" t="str">
        <x:v>Redox and reactive chemistry</x:v>
      </x:c>
      <x:c r="D75" s="159" t="n">
        <x:v>1</x:v>
      </x:c>
      <x:c r="E75" s="159" t="n">
        <x:v>1</x:v>
      </x:c>
      <x:c r="F75" s="159" t="n">
        <x:v>1</x:v>
      </x:c>
      <x:c r="G75" s="159" t="n">
        <x:v>1</x:v>
      </x:c>
      <x:c r="H75" s="158" t="str">
        <x:v>MetOSite methionine-sulfoxide child; iCysMod and Plant PTM Viewer partial oxidation children</x:v>
      </x:c>
      <x:c r="I75" s="158" t="str">
        <x:v>current dedicated experimental methionine-sulfoxidation site database</x:v>
      </x:c>
      <x:c r="J75" s="159" t="str">
        <x:v>ACTIVE_MAINTAINED_PARTIAL_CHILD</x:v>
      </x:c>
      <x:c r="K75" s="158" t="str">
        <x:v>yes; experimentally confirmed methionine sulfoxide sites</x:v>
      </x:c>
      <x:c r="L75" s="170" t="n">
        <x:v>8406</x:v>
      </x:c>
      <x:c r="M75" s="158" t="str">
        <x:v>experimentally confirmed methionine sulfoxide sites</x:v>
      </x:c>
      <x:c r="N75" s="159" t="str">
        <x:v>official API summary 2025-06-30</x:v>
      </x:c>
      <x:c r="O75" s="158" t="str">
        <x:v>ACTIVE_DEDICATED_SITE_DB</x:v>
      </x:c>
      <x:c r="P75" s="158" t="str">
        <x:v>MetOSite official API and database site; checked 2026-08-14</x:v>
      </x:c>
      <x:c r="Q75" s="184" t="str">
        <x:v>https://metosite.uma.es/api/summaries/count</x:v>
      </x:c>
      <x:c r="R75" s="158" t="str">
        <x:v>Exact 8,406 covers methionine sulfoxide only. Cysteine sulfenic/sulfinic/sulfonic and other residue oxide children are broader and must not be added without deduplication.</x:v>
      </x:c>
    </x:row>
    <x:row r="76" ht="33" customHeight="1">
      <x:c r="A76" s="149" t="str">
        <x:v>ADJ075</x:v>
      </x:c>
      <x:c r="B76" s="150" t="str">
        <x:v>S-guanylation</x:v>
      </x:c>
      <x:c r="C76" s="150" t="str">
        <x:v>Redox and reactive chemistry</x:v>
      </x:c>
      <x:c r="D76" s="151" t="n">
        <x:v>1</x:v>
      </x:c>
      <x:c r="E76" s="151" t="n">
        <x:v>0</x:v>
      </x:c>
      <x:c r="F76" s="151" t="n">
        <x:v>0</x:v>
      </x:c>
      <x:c r="G76" s="151" t="n">
        <x:v>0</x:v>
      </x:c>
      <x:c r="H76" s="150" t="str">
        <x:v>ProteomeScout current TSV plus primary S-guanylation proteomics</x:v>
      </x:c>
      <x:c r="I76" s="150" t="str">
        <x:v>current general integrator plus primary study; no dedicated database</x:v>
      </x:c>
      <x:c r="J76" s="151" t="str">
        <x:v>GENERAL_INTEGRATOR_ONLY</x:v>
      </x:c>
      <x:c r="K76" s="150" t="str">
        <x:v>yes</x:v>
      </x:c>
      <x:c r="L76" s="168" t="n">
        <x:v>3</x:v>
      </x:c>
      <x:c r="M76" s="150" t="str">
        <x:v>S-cGMP-cysteine annotation records</x:v>
      </x:c>
      <x:c r="N76" s="151" t="str">
        <x:v>ProteomeScout TSV 2026-06-02</x:v>
      </x:c>
      <x:c r="O76" s="150" t="str">
        <x:v>GENERAL_INTEGRATOR_ONLY_NO_DEDICATED_DB</x:v>
      </x:c>
      <x:c r="P76" s="150" t="str">
        <x:v>Exact family term plus database, atlas, repository and site-resource searches; dbPTM, ProteomeScout, UniProt and primary literature cross-check; completed 2026-08-14</x:v>
      </x:c>
      <x:c r="Q76" s="185" t="str">
        <x:v>https://proteomescout.research.virginia.edu/downloads | https://pubmed.ncbi.nlm.nih.gov/26221773/</x:v>
      </x:c>
      <x:c r="R76" s="150" t="str">
        <x:v>This is electrophilic S-guanylation, not unsupported generic GMPylation.</x:v>
      </x:c>
    </x:row>
    <x:row r="77" ht="33" customHeight="1">
      <x:c r="A77" s="157" t="str">
        <x:v>ADJ076</x:v>
      </x:c>
      <x:c r="B77" s="158" t="str">
        <x:v>S-itaconation</x:v>
      </x:c>
      <x:c r="C77" s="158" t="str">
        <x:v>Redox and reactive chemistry</x:v>
      </x:c>
      <x:c r="D77" s="159" t="n">
        <x:v>1</x:v>
      </x:c>
      <x:c r="E77" s="159" t="n">
        <x:v>1</x:v>
      </x:c>
      <x:c r="F77" s="159" t="n">
        <x:v>0</x:v>
      </x:c>
      <x:c r="G77" s="159" t="n">
        <x:v>0</x:v>
      </x:c>
      <x:c r="H77" s="158" t="str">
        <x:v>CysModDB historical</x:v>
      </x:c>
      <x:c r="I77" s="158" t="str">
        <x:v>historical narrow multi-family cysteine PTM site database</x:v>
      </x:c>
      <x:c r="J77" s="159" t="str">
        <x:v>UNAVAILABLE</x:v>
      </x:c>
      <x:c r="K77" s="158" t="str">
        <x:v>yes historically; exact family count not recoverable</x:v>
      </x:c>
      <x:c r="L77" s="170" t="str">
        <x:v>NR</x:v>
      </x:c>
      <x:c r="M77" s="158" t="str">
        <x:v>no exact family-level count in a dedicated resource</x:v>
      </x:c>
      <x:c r="N77" s="159" t="str">
        <x:v>search completed 2026-08-14</x:v>
      </x:c>
      <x:c r="O77" s="158" t="str">
        <x:v>HISTORICAL_NARROW_DB_UNAVAILABLE</x:v>
      </x:c>
      <x:c r="P77" s="158" t="str">
        <x:v>CysModDB primary paper, official hostname DNS audit, and 2026 CysDBase comparison; checked 2026-08-14</x:v>
      </x:c>
      <x:c r="Q77" s="184" t="str">
        <x:v>https://pmc.ncbi.nlm.nih.gov/articles/PMC9677505/</x:v>
      </x:c>
      <x:c r="R77" s="158" t="str">
        <x:v>CysModDB explicitly included S-itaconation among 12 cysteine PTM classes; endpoint currently fails DNS. All-class 70,536 sites cannot be assigned to this family.</x:v>
      </x:c>
    </x:row>
    <x:row r="78" ht="33" customHeight="1">
      <x:c r="A78" s="149" t="str">
        <x:v>ADJ077</x:v>
      </x:c>
      <x:c r="B78" s="150" t="str">
        <x:v>S-nitrosylation</x:v>
      </x:c>
      <x:c r="C78" s="150" t="str">
        <x:v>Redox and reactive chemistry</x:v>
      </x:c>
      <x:c r="D78" s="151" t="n">
        <x:v>1</x:v>
      </x:c>
      <x:c r="E78" s="151" t="n">
        <x:v>1</x:v>
      </x:c>
      <x:c r="F78" s="151" t="n">
        <x:v>1</x:v>
      </x:c>
      <x:c r="G78" s="151" t="n">
        <x:v>1</x:v>
      </x:c>
      <x:c r="H78" s="150" t="str">
        <x:v>dbSNO 3.0</x:v>
      </x:c>
      <x:c r="I78" s="150" t="str">
        <x:v>current narrow multi-family cysteine-PTM site database</x:v>
      </x:c>
      <x:c r="J78" s="151" t="str">
        <x:v>ACTIVE_MAINTAINED</x:v>
      </x:c>
      <x:c r="K78" s="150" t="str">
        <x:v>yes</x:v>
      </x:c>
      <x:c r="L78" s="168" t="n">
        <x:v>23417</x:v>
      </x:c>
      <x:c r="M78" s="150" t="str">
        <x:v>S-nitrosylation sites</x:v>
      </x:c>
      <x:c r="N78" s="151" t="str">
        <x:v>Swiss-Prot 2025-06 basis</x:v>
      </x:c>
      <x:c r="O78" s="150" t="str">
        <x:v>ACTIVE_NARROW_MULTI_FAMILY_SITE_DB</x:v>
      </x:c>
      <x:c r="P78" s="150" t="str">
        <x:v>dbSNO official statistics/introduction; accessed 2026-08-14</x:v>
      </x:c>
      <x:c r="Q78" s="185" t="str">
        <x:v>https://biomics.lab.nycu.edu.tw/dbSNO/statistics.php</x:v>
      </x:c>
      <x:c r="R78" s="150" t="str">
        <x:v>10996 proteins; family count is sites/instances, not functional-effect annotations.</x:v>
      </x:c>
    </x:row>
    <x:row r="79" ht="33" customHeight="1">
      <x:c r="A79" s="157" t="str">
        <x:v>ADJ078</x:v>
      </x:c>
      <x:c r="B79" s="158" t="str">
        <x:v>Succination</x:v>
      </x:c>
      <x:c r="C79" s="158" t="str">
        <x:v>Redox and reactive chemistry</x:v>
      </x:c>
      <x:c r="D79" s="159" t="n">
        <x:v>1</x:v>
      </x:c>
      <x:c r="E79" s="159" t="n">
        <x:v>1</x:v>
      </x:c>
      <x:c r="F79" s="159" t="n">
        <x:v>0</x:v>
      </x:c>
      <x:c r="G79" s="159" t="n">
        <x:v>0</x:v>
      </x:c>
      <x:c r="H79" s="158" t="str">
        <x:v>ProteomeScout current general integrator; CysModDB historical unavailable</x:v>
      </x:c>
      <x:c r="I79" s="158" t="str">
        <x:v>current general multi-PTM integrator plus historical narrow cysteine-modification database</x:v>
      </x:c>
      <x:c r="J79" s="159" t="str">
        <x:v>GENERAL_INTEGRATOR_ONLY</x:v>
      </x:c>
      <x:c r="K79" s="158" t="str">
        <x:v>yes; current general-integrator residue records</x:v>
      </x:c>
      <x:c r="L79" s="170" t="n">
        <x:v>67</x:v>
      </x:c>
      <x:c r="M79" s="158" t="str">
        <x:v>unique protein-position records across S-(2,3-dicarboxypropyl)cysteine and S-(2-succinyl)cysteine labels, all species</x:v>
      </x:c>
      <x:c r="N79" s="159" t="str">
        <x:v>ProteomeScout TSV Last-Modified 2026-06-02</x:v>
      </x:c>
      <x:c r="O79" s="158" t="str">
        <x:v>HISTORICAL_NARROW_DB_UNAVAILABLE_CURRENT_COUNT_GENERAL_INTEGRATOR_ONLY</x:v>
      </x:c>
      <x:c r="P79" s="158" t="str">
        <x:v>current ProteomeScout official download, CysModDB primary paper/status, and targeted search; checked 2026-08-14</x:v>
      </x:c>
      <x:c r="Q79" s="184" t="str">
        <x:v>https://proteomescout.research.virginia.edu/downloads</x:v>
      </x:c>
      <x:c r="R79" s="158" t="str">
        <x:v>ProteomeScout contains 14 and 59 label-level records; six sites carry both labels, yielding 67 unique protein-position records. CysModDB historically covered succination but is unavailable and did not expose a recoverable family count. The 67 count is reproducibly label-normalized and deduplicated; it is not a dedicated-database count.</x:v>
      </x:c>
    </x:row>
    <x:row r="80" ht="33" customHeight="1">
      <x:c r="A80" s="149" t="str">
        <x:v>ADJ079</x:v>
      </x:c>
      <x:c r="B80" s="150" t="str">
        <x:v>Sulfhydration and persulfidation</x:v>
      </x:c>
      <x:c r="C80" s="150" t="str">
        <x:v>Redox and reactive chemistry</x:v>
      </x:c>
      <x:c r="D80" s="151" t="n">
        <x:v>1</x:v>
      </x:c>
      <x:c r="E80" s="151" t="n">
        <x:v>1</x:v>
      </x:c>
      <x:c r="F80" s="151" t="n">
        <x:v>1</x:v>
      </x:c>
      <x:c r="G80" s="151" t="n">
        <x:v>1</x:v>
      </x:c>
      <x:c r="H80" s="150" t="str">
        <x:v>dbSNO 3.0</x:v>
      </x:c>
      <x:c r="I80" s="150" t="str">
        <x:v>current narrow multi-family experimental cysteine-modification site database</x:v>
      </x:c>
      <x:c r="J80" s="151" t="str">
        <x:v>ACTIVE_MAINTAINED</x:v>
      </x:c>
      <x:c r="K80" s="150" t="str">
        <x:v>yes; experimentally supported cysteine PTM instances</x:v>
      </x:c>
      <x:c r="L80" s="168" t="n">
        <x:v>2710</x:v>
      </x:c>
      <x:c r="M80" s="150" t="str">
        <x:v>S-sulfhydration/persulfidation site instances</x:v>
      </x:c>
      <x:c r="N80" s="151" t="str">
        <x:v>dbSNO 3.0 statistics current 2025-06; accessed 2026-08-14</x:v>
      </x:c>
      <x:c r="O80" s="150" t="str">
        <x:v>ACTIVE_NARROW_MULTI_FAMILY_SITE_DB</x:v>
      </x:c>
      <x:c r="P80" s="150" t="str">
        <x:v>dbSNO official statistics and current database paper; checked 2026-08-14</x:v>
      </x:c>
      <x:c r="Q80" s="185" t="str">
        <x:v>https://biomics.lab.nycu.edu.tw/dbSNO/statistics.php</x:v>
      </x:c>
      <x:c r="R80" s="150" t="str">
        <x:v>The database label is S-sulfhydration; the family ledger treats sulfhydration/persulfidation together.</x:v>
      </x:c>
    </x:row>
    <x:row r="81" ht="33" customHeight="1">
      <x:c r="A81" s="157" t="str">
        <x:v>ADJ080</x:v>
      </x:c>
      <x:c r="B81" s="158" t="str">
        <x:v>Citrullination</x:v>
      </x:c>
      <x:c r="C81" s="158" t="str">
        <x:v>Residue and terminal remodeling</x:v>
      </x:c>
      <x:c r="D81" s="159" t="n">
        <x:v>1</x:v>
      </x:c>
      <x:c r="E81" s="159" t="n">
        <x:v>0</x:v>
      </x:c>
      <x:c r="F81" s="159" t="n">
        <x:v>0</x:v>
      </x:c>
      <x:c r="G81" s="159" t="n">
        <x:v>0</x:v>
      </x:c>
      <x:c r="H81" s="158" t="str">
        <x:v>HL60 citrullination atlas</x:v>
      </x:c>
      <x:c r="I81" s="158" t="str">
        <x:v>dedicated experimental site atlas, not a maintained database</x:v>
      </x:c>
      <x:c r="J81" s="159" t="str">
        <x:v>SITE_ATLAS</x:v>
      </x:c>
      <x:c r="K81" s="158" t="str">
        <x:v>yes</x:v>
      </x:c>
      <x:c r="L81" s="170" t="n">
        <x:v>14056</x:v>
      </x:c>
      <x:c r="M81" s="158" t="str">
        <x:v>citrullination sites</x:v>
      </x:c>
      <x:c r="N81" s="159" t="str">
        <x:v>2024 publication</x:v>
      </x:c>
      <x:c r="O81" s="158" t="str">
        <x:v>SITE_ATLAS_ONLY_NO_DATABASE</x:v>
      </x:c>
      <x:c r="P81" s="158" t="str">
        <x:v>Dedicated-database search plus primary 2024 atlas; completed 2026-08-14</x:v>
      </x:c>
      <x:c r="Q81" s="184" t="str">
        <x:v>https://www.nature.com/articles/s41594-024-01214-9</x:v>
      </x:c>
      <x:c r="R81" s="158" t="str">
        <x:v>4008 proteins in one neutrophil-like cell model; not a pan-species maintained database.</x:v>
      </x:c>
    </x:row>
    <x:row r="82" ht="33" customHeight="1">
      <x:c r="A82" s="149" t="str">
        <x:v>ADJ081</x:v>
      </x:c>
      <x:c r="B82" s="150" t="str">
        <x:v>Deamidation</x:v>
      </x:c>
      <x:c r="C82" s="150" t="str">
        <x:v>Residue and terminal remodeling</x:v>
      </x:c>
      <x:c r="D82" s="151" t="n">
        <x:v>1</x:v>
      </x:c>
      <x:c r="E82" s="151" t="n">
        <x:v>0</x:v>
      </x:c>
      <x:c r="F82" s="151" t="n">
        <x:v>0</x:v>
      </x:c>
      <x:c r="G82" s="151" t="n">
        <x:v>0</x:v>
      </x:c>
      <x:c r="H82" s="150" t="str">
        <x:v>dbPTM 2025 general integrator</x:v>
      </x:c>
      <x:c r="I82" s="150" t="str">
        <x:v>general PTM integrator</x:v>
      </x:c>
      <x:c r="J82" s="151" t="str">
        <x:v>GENERAL_INTEGRATOR_ONLY</x:v>
      </x:c>
      <x:c r="K82" s="150" t="str">
        <x:v>yes in a general integrator; no dedicated database found</x:v>
      </x:c>
      <x:c r="L82" s="168" t="n">
        <x:v>92</x:v>
      </x:c>
      <x:c r="M82" s="150" t="str">
        <x:v>experimental sites in the fixed dbPTM Release 2024 statistics table</x:v>
      </x:c>
      <x:c r="N82" s="151" t="str">
        <x:v>dbPTM Release 2024 table; accessed 2026-08-14</x:v>
      </x:c>
      <x:c r="O82" s="150" t="str">
        <x:v>GENERAL_INTEGRATOR_ONLY_NO_DEDICATED_DB</x:v>
      </x:c>
      <x:c r="P82" s="150" t="str">
        <x:v>Official dedicated-resource names, dbPTM/UniProt/ProteomeScout cross-checks, and primary-paper search; completed 2026-08-14</x:v>
      </x:c>
      <x:c r="Q82" s="185" t="str">
        <x:v>https://biomics.lab.nycu.edu.tw/dbPTM/statistics.php</x:v>
      </x:c>
      <x:c r="R82" s="150" t="str">
        <x:v>Putative sites are excluded. A zero means zero experimental rows in this fixed table, not absence of the PTM from biology.</x:v>
      </x:c>
    </x:row>
    <x:row r="83" ht="33" customHeight="1">
      <x:c r="A83" s="157" t="str">
        <x:v>ADJ082</x:v>
      </x:c>
      <x:c r="B83" s="158" t="str">
        <x:v>Deamination</x:v>
      </x:c>
      <x:c r="C83" s="158" t="str">
        <x:v>Residue and terminal remodeling</x:v>
      </x:c>
      <x:c r="D83" s="159" t="n">
        <x:v>1</x:v>
      </x:c>
      <x:c r="E83" s="159" t="n">
        <x:v>0</x:v>
      </x:c>
      <x:c r="F83" s="159" t="n">
        <x:v>0</x:v>
      </x:c>
      <x:c r="G83" s="159" t="n">
        <x:v>0</x:v>
      </x:c>
      <x:c r="H83" s="158" t="str">
        <x:v>dbPTM 2025 general integrator</x:v>
      </x:c>
      <x:c r="I83" s="158" t="str">
        <x:v>current general multi-PTM integrator</x:v>
      </x:c>
      <x:c r="J83" s="159" t="str">
        <x:v>GENERAL_INTEGRATOR_ONLY</x:v>
      </x:c>
      <x:c r="K83" s="158" t="str">
        <x:v>yes; general-integrator residue records</x:v>
      </x:c>
      <x:c r="L83" s="170" t="n">
        <x:v>42</x:v>
      </x:c>
      <x:c r="M83" s="158" t="str">
        <x:v>experimental deamination sites in the fixed dbPTM Release 2024 statistics table</x:v>
      </x:c>
      <x:c r="N83" s="159" t="str">
        <x:v>dbPTM Release 2024; accessed 2026-08-14</x:v>
      </x:c>
      <x:c r="O83" s="158" t="str">
        <x:v>GENERAL_INTEGRATOR_ONLY_NO_DEDICATED_DB</x:v>
      </x:c>
      <x:c r="P83" s="158" t="str">
        <x:v>dbPTM official statistics and targeted dedicated-resource search; checked 2026-08-14</x:v>
      </x:c>
      <x:c r="Q83" s="184" t="str">
        <x:v>https://biomics.lab.nycu.edu.tw/dbPTM/statistics.php</x:v>
      </x:c>
      <x:c r="R83" s="158" t="str">
        <x:v>Putative records were not mixed into the experimental count.</x:v>
      </x:c>
    </x:row>
    <x:row r="84" ht="33" customHeight="1">
      <x:c r="A84" s="149" t="str">
        <x:v>ADJ083</x:v>
      </x:c>
      <x:c r="B84" s="150" t="str">
        <x:v>Decarboxylation</x:v>
      </x:c>
      <x:c r="C84" s="150" t="str">
        <x:v>Residue and terminal remodeling</x:v>
      </x:c>
      <x:c r="D84" s="151" t="n">
        <x:v>1</x:v>
      </x:c>
      <x:c r="E84" s="151" t="n">
        <x:v>0</x:v>
      </x:c>
      <x:c r="F84" s="151" t="n">
        <x:v>0</x:v>
      </x:c>
      <x:c r="G84" s="151" t="n">
        <x:v>0</x:v>
      </x:c>
      <x:c r="H84" s="150" t="str">
        <x:v>dbPTM 2025 general integrator</x:v>
      </x:c>
      <x:c r="I84" s="150" t="str">
        <x:v>current general multi-PTM integrator</x:v>
      </x:c>
      <x:c r="J84" s="151" t="str">
        <x:v>GENERAL_INTEGRATOR_ONLY</x:v>
      </x:c>
      <x:c r="K84" s="150" t="str">
        <x:v>yes; general-integrator residue records</x:v>
      </x:c>
      <x:c r="L84" s="168" t="n">
        <x:v>2</x:v>
      </x:c>
      <x:c r="M84" s="150" t="str">
        <x:v>experimental decarboxylation sites in the fixed dbPTM Release 2024 statistics table</x:v>
      </x:c>
      <x:c r="N84" s="151" t="str">
        <x:v>dbPTM Release 2024; accessed 2026-08-14</x:v>
      </x:c>
      <x:c r="O84" s="150" t="str">
        <x:v>GENERAL_INTEGRATOR_ONLY_NO_DEDICATED_DB</x:v>
      </x:c>
      <x:c r="P84" s="150" t="str">
        <x:v>dbPTM official statistics and targeted dedicated-resource search; checked 2026-08-14</x:v>
      </x:c>
      <x:c r="Q84" s="185" t="str">
        <x:v>https://biomics.lab.nycu.edu.tw/dbPTM/statistics.php</x:v>
      </x:c>
      <x:c r="R84" s="150" t="str">
        <x:v>dbPTM also reports two putative sites. Experimental and putative counts remain separated.</x:v>
      </x:c>
    </x:row>
    <x:row r="85" ht="33" customHeight="1">
      <x:c r="A85" s="157" t="str">
        <x:v>ADJ084</x:v>
      </x:c>
      <x:c r="B85" s="158" t="str">
        <x:v>Diphthamide formation</x:v>
      </x:c>
      <x:c r="C85" s="158" t="str">
        <x:v>Residue and terminal remodeling</x:v>
      </x:c>
      <x:c r="D85" s="159" t="n">
        <x:v>1</x:v>
      </x:c>
      <x:c r="E85" s="159" t="n">
        <x:v>0</x:v>
      </x:c>
      <x:c r="F85" s="159" t="n">
        <x:v>0</x:v>
      </x:c>
      <x:c r="G85" s="159" t="n">
        <x:v>0</x:v>
      </x:c>
      <x:c r="H85" s="158" t="str">
        <x:v>ProteomeScout current general integrator</x:v>
      </x:c>
      <x:c r="I85" s="158" t="str">
        <x:v>current general multi-PTM integrator</x:v>
      </x:c>
      <x:c r="J85" s="159" t="str">
        <x:v>GENERAL_INTEGRATOR_ONLY</x:v>
      </x:c>
      <x:c r="K85" s="158" t="str">
        <x:v>yes; general-integrator residue records</x:v>
      </x:c>
      <x:c r="L85" s="170" t="n">
        <x:v>6</x:v>
      </x:c>
      <x:c r="M85" s="158" t="str">
        <x:v>Diphthamide protein-position records, all species</x:v>
      </x:c>
      <x:c r="N85" s="159" t="str">
        <x:v>ProteomeScout TSV Last-Modified 2026-06-02</x:v>
      </x:c>
      <x:c r="O85" s="158" t="str">
        <x:v>GENERAL_INTEGRATOR_ONLY_NO_DEDICATED_DB</x:v>
      </x:c>
      <x:c r="P85" s="158" t="str">
        <x:v>ProteomeScout official download and targeted dedicated-resource search; checked 2026-08-14</x:v>
      </x:c>
      <x:c r="Q85" s="184" t="str">
        <x:v>https://proteomescout.research.virginia.edu/downloads</x:v>
      </x:c>
      <x:c r="R85" s="158" t="str">
        <x:v>No family-specific maintained experimental site atlas was found.</x:v>
      </x:c>
    </x:row>
    <x:row r="86" ht="33" customHeight="1">
      <x:c r="A86" s="149" t="str">
        <x:v>ADJ085</x:v>
      </x:c>
      <x:c r="B86" s="150" t="str">
        <x:v>Formylglycine formation</x:v>
      </x:c>
      <x:c r="C86" s="150" t="str">
        <x:v>Residue and terminal remodeling</x:v>
      </x:c>
      <x:c r="D86" s="151" t="n">
        <x:v>1</x:v>
      </x:c>
      <x:c r="E86" s="151" t="n">
        <x:v>0</x:v>
      </x:c>
      <x:c r="F86" s="151" t="n">
        <x:v>0</x:v>
      </x:c>
      <x:c r="G86" s="151" t="n">
        <x:v>0</x:v>
      </x:c>
      <x:c r="H86" s="150" t="str">
        <x:v>ProteomeScout chemistry label and primary sulfatase maturation studies</x:v>
      </x:c>
      <x:c r="I86" s="150" t="str">
        <x:v>general integrator plus primary study; no dedicated site database</x:v>
      </x:c>
      <x:c r="J86" s="151" t="str">
        <x:v>GENERAL_AND_PRIMARY_ONLY</x:v>
      </x:c>
      <x:c r="K86" s="150" t="str">
        <x:v>yes; 3-oxoalanine/formylglycine chemistry represented</x:v>
      </x:c>
      <x:c r="L86" s="168" t="str">
        <x:v>NR</x:v>
      </x:c>
      <x:c r="M86" s="150" t="str">
        <x:v>no exact family-level count in a dedicated resource</x:v>
      </x:c>
      <x:c r="N86" s="151" t="str">
        <x:v>search completed 2026-08-14</x:v>
      </x:c>
      <x:c r="O86" s="150" t="str">
        <x:v>NO_DEDICATED_EXPERIMENTAL_SITE_DB</x:v>
      </x:c>
      <x:c r="P86" s="150" t="str">
        <x:v>Exact family term plus database, atlas, repository and site-resource searches; dbPTM, ProteomeScout, UniProt and primary literature cross-check; completed 2026-08-14</x:v>
      </x:c>
      <x:c r="Q86" s="185" t="str">
        <x:v>https://doi.org/10.1021/cb500897w</x:v>
      </x:c>
      <x:c r="R86" s="150" t="str">
        <x:v>NR means not reported or no dedicated-resource denominator; it does not mean zero biological sites.</x:v>
      </x:c>
    </x:row>
    <x:row r="87" ht="33" customHeight="1">
      <x:c r="A87" s="157" t="str">
        <x:v>ADJ086</x:v>
      </x:c>
      <x:c r="B87" s="158" t="str">
        <x:v>Glutamylation</x:v>
      </x:c>
      <x:c r="C87" s="158" t="str">
        <x:v>Residue and terminal remodeling</x:v>
      </x:c>
      <x:c r="D87" s="159" t="n">
        <x:v>1</x:v>
      </x:c>
      <x:c r="E87" s="159" t="n">
        <x:v>0</x:v>
      </x:c>
      <x:c r="F87" s="159" t="n">
        <x:v>0</x:v>
      </x:c>
      <x:c r="G87" s="159" t="n">
        <x:v>0</x:v>
      </x:c>
      <x:c r="H87" s="158" t="str">
        <x:v>ProteomeScout current general integrator</x:v>
      </x:c>
      <x:c r="I87" s="158" t="str">
        <x:v>current general multi-PTM integrator</x:v>
      </x:c>
      <x:c r="J87" s="159" t="str">
        <x:v>GENERAL_INTEGRATOR_ONLY</x:v>
      </x:c>
      <x:c r="K87" s="158" t="str">
        <x:v>yes; general-integrator residue records</x:v>
      </x:c>
      <x:c r="L87" s="170" t="n">
        <x:v>63</x:v>
      </x:c>
      <x:c r="M87" s="158" t="str">
        <x:v>unique protein-position records across 5-glutamyl glutamate and 5-glutamyl polyglutamate labels, all species</x:v>
      </x:c>
      <x:c r="N87" s="159" t="str">
        <x:v>ProteomeScout TSV Last-Modified 2026-06-02</x:v>
      </x:c>
      <x:c r="O87" s="158" t="str">
        <x:v>GENERAL_INTEGRATOR_ONLY_NO_DEDICATED_DB</x:v>
      </x:c>
      <x:c r="P87" s="158" t="str">
        <x:v>ProteomeScout official download and targeted dedicated-resource search; checked 2026-08-14</x:v>
      </x:c>
      <x:c r="Q87" s="184" t="str">
        <x:v>https://proteomescout.research.virginia.edu/downloads</x:v>
      </x:c>
      <x:c r="R87" s="158" t="str">
        <x:v>The current file contains 2 5-glutamyl-glutamate and 61 5-glutamyl-polyglutamate records with no overlapping protein-position key. The count is label-normalized and deduplicated.</x:v>
      </x:c>
    </x:row>
    <x:row r="88" ht="33" customHeight="1">
      <x:c r="A88" s="149" t="str">
        <x:v>ADJ087</x:v>
      </x:c>
      <x:c r="B88" s="150" t="str">
        <x:v>Glycylation</x:v>
      </x:c>
      <x:c r="C88" s="150" t="str">
        <x:v>Residue and terminal remodeling</x:v>
      </x:c>
      <x:c r="D88" s="151" t="n">
        <x:v>1</x:v>
      </x:c>
      <x:c r="E88" s="151" t="n">
        <x:v>0</x:v>
      </x:c>
      <x:c r="F88" s="151" t="n">
        <x:v>0</x:v>
      </x:c>
      <x:c r="G88" s="151" t="n">
        <x:v>0</x:v>
      </x:c>
      <x:c r="H88" s="150" t="str">
        <x:v>ProteomeScout current general integrator</x:v>
      </x:c>
      <x:c r="I88" s="150" t="str">
        <x:v>current general multi-PTM integrator</x:v>
      </x:c>
      <x:c r="J88" s="151" t="str">
        <x:v>GENERAL_INTEGRATOR_ONLY</x:v>
      </x:c>
      <x:c r="K88" s="150" t="str">
        <x:v>yes; general-integrator residue records</x:v>
      </x:c>
      <x:c r="L88" s="168" t="n">
        <x:v>6</x:v>
      </x:c>
      <x:c r="M88" s="150" t="str">
        <x:v>5-glutamyl polyglycine protein-position records, all species</x:v>
      </x:c>
      <x:c r="N88" s="151" t="str">
        <x:v>ProteomeScout TSV Last-Modified 2026-06-02</x:v>
      </x:c>
      <x:c r="O88" s="150" t="str">
        <x:v>GENERAL_INTEGRATOR_ONLY_NO_DEDICATED_DB</x:v>
      </x:c>
      <x:c r="P88" s="150" t="str">
        <x:v>ProteomeScout official download and targeted dedicated-resource search; checked 2026-08-14</x:v>
      </x:c>
      <x:c r="Q88" s="185" t="str">
        <x:v>https://proteomescout.research.virginia.edu/downloads</x:v>
      </x:c>
      <x:c r="R88" s="150" t="str">
        <x:v>The label describes side-chain polyglycylation; unrelated glycyl-adenylate records were excluded.</x:v>
      </x:c>
    </x:row>
    <x:row r="89" ht="33" customHeight="1">
      <x:c r="A89" s="157" t="str">
        <x:v>ADJ088</x:v>
      </x:c>
      <x:c r="B89" s="158" t="str">
        <x:v>Hydroxylation</x:v>
      </x:c>
      <x:c r="C89" s="158" t="str">
        <x:v>Residue and terminal remodeling</x:v>
      </x:c>
      <x:c r="D89" s="159" t="n">
        <x:v>1</x:v>
      </x:c>
      <x:c r="E89" s="159" t="n">
        <x:v>1</x:v>
      </x:c>
      <x:c r="F89" s="159" t="n">
        <x:v>1</x:v>
      </x:c>
      <x:c r="G89" s="159" t="n">
        <x:v>1</x:v>
      </x:c>
      <x:c r="H89" s="158" t="str">
        <x:v>HypDB for proline plus CPLM 4.0 for lysine</x:v>
      </x:c>
      <x:c r="I89" s="158" t="str">
        <x:v>live aging dedicated site DB plus current narrow site DB</x:v>
      </x:c>
      <x:c r="J89" s="159" t="str">
        <x:v>ACTIVE_PARTIAL_PLUS_LIVE_AGING_DEDICATED</x:v>
      </x:c>
      <x:c r="K89" s="158" t="str">
        <x:v>yes</x:v>
      </x:c>
      <x:c r="L89" s="170" t="n">
        <x:v>14413</x:v>
      </x:c>
      <x:c r="M89" s="158" t="str">
        <x:v>nonredundant hydroxyproline sites in HypDB</x:v>
      </x:c>
      <x:c r="N89" s="159" t="str">
        <x:v>HypDB 2022; CPLM 2025-02-10</x:v>
      </x:c>
      <x:c r="O89" s="158" t="str">
        <x:v>DEDICATED_SITE_DATABASE_COVERAGE</x:v>
      </x:c>
      <x:c r="P89" s="158" t="str">
        <x:v>HypDB/CPLM official sources and primary papers; accessed 2026-08-14</x:v>
      </x:c>
      <x:c r="Q89" s="184" t="str">
        <x:v>https://pmc.ncbi.nlm.nih.gov/articles/PMC9455854/</x:v>
      </x:c>
      <x:c r="R89" s="158" t="str">
        <x:v>HypDB has 59436 records in 5165 human proteins with confidence classes; CPLM separately lists 55 hydroxylated-lysine proteins.</x:v>
      </x:c>
    </x:row>
    <x:row r="90" ht="33" customHeight="1">
      <x:c r="A90" s="149" t="str">
        <x:v>ADJ089</x:v>
      </x:c>
      <x:c r="B90" s="150" t="str">
        <x:v>Hypusination</x:v>
      </x:c>
      <x:c r="C90" s="150" t="str">
        <x:v>Residue and terminal remodeling</x:v>
      </x:c>
      <x:c r="D90" s="151" t="n">
        <x:v>1</x:v>
      </x:c>
      <x:c r="E90" s="151" t="n">
        <x:v>0</x:v>
      </x:c>
      <x:c r="F90" s="151" t="n">
        <x:v>0</x:v>
      </x:c>
      <x:c r="G90" s="151" t="n">
        <x:v>0</x:v>
      </x:c>
      <x:c r="H90" s="150" t="str">
        <x:v>ProteomeScout current general integrator</x:v>
      </x:c>
      <x:c r="I90" s="150" t="str">
        <x:v>current general multi-PTM integrator</x:v>
      </x:c>
      <x:c r="J90" s="151" t="str">
        <x:v>GENERAL_INTEGRATOR_ONLY</x:v>
      </x:c>
      <x:c r="K90" s="150" t="str">
        <x:v>yes; general-integrator residue records</x:v>
      </x:c>
      <x:c r="L90" s="168" t="n">
        <x:v>10</x:v>
      </x:c>
      <x:c r="M90" s="150" t="str">
        <x:v>Hypusine protein-position records, all species</x:v>
      </x:c>
      <x:c r="N90" s="151" t="str">
        <x:v>ProteomeScout TSV Last-Modified 2026-06-02</x:v>
      </x:c>
      <x:c r="O90" s="150" t="str">
        <x:v>GENERAL_INTEGRATOR_ONLY_NO_DEDICATED_DB</x:v>
      </x:c>
      <x:c r="P90" s="150" t="str">
        <x:v>ProteomeScout official download and targeted dedicated-resource search; checked 2026-08-14</x:v>
      </x:c>
      <x:c r="Q90" s="185" t="str">
        <x:v>https://proteomescout.research.virginia.edu/downloads</x:v>
      </x:c>
      <x:c r="R90" s="150" t="str">
        <x:v>No family-specific maintained experimental site atlas was found.</x:v>
      </x:c>
    </x:row>
    <x:row r="91" ht="33" customHeight="1">
      <x:c r="A91" s="157" t="str">
        <x:v>ADJ090</x:v>
      </x:c>
      <x:c r="B91" s="158" t="str">
        <x:v>Pyroglutamate formation</x:v>
      </x:c>
      <x:c r="C91" s="158" t="str">
        <x:v>Residue and terminal remodeling</x:v>
      </x:c>
      <x:c r="D91" s="159" t="n">
        <x:v>1</x:v>
      </x:c>
      <x:c r="E91" s="159" t="n">
        <x:v>0</x:v>
      </x:c>
      <x:c r="F91" s="159" t="n">
        <x:v>0</x:v>
      </x:c>
      <x:c r="G91" s="159" t="n">
        <x:v>0</x:v>
      </x:c>
      <x:c r="H91" s="158" t="str">
        <x:v>dbPTM 2025 general integrator</x:v>
      </x:c>
      <x:c r="I91" s="158" t="str">
        <x:v>current general multi-PTM integrator; structural and terminomics resources are not family-specific functional site databases</x:v>
      </x:c>
      <x:c r="J91" s="159" t="str">
        <x:v>GENERAL_INTEGRATOR_ONLY</x:v>
      </x:c>
      <x:c r="K91" s="158" t="str">
        <x:v>yes; general-integrator residue records</x:v>
      </x:c>
      <x:c r="L91" s="170" t="n">
        <x:v>1846</x:v>
      </x:c>
      <x:c r="M91" s="158" t="str">
        <x:v>experimental pyrrolidone-carboxylic-acid sites in the fixed dbPTM Release 2024 statistics table</x:v>
      </x:c>
      <x:c r="N91" s="159" t="str">
        <x:v>dbPTM Release 2024; accessed 2026-08-14</x:v>
      </x:c>
      <x:c r="O91" s="158" t="str">
        <x:v>GENERAL_INTEGRATOR_ONLY_NO_DEDICATED_FAMILY_DB</x:v>
      </x:c>
      <x:c r="P91" s="158" t="str">
        <x:v>dbPTM statistics, StrucPTM structural counts and TopFIND 4.1; checked 2026-08-14</x:v>
      </x:c>
      <x:c r="Q91" s="184" t="str">
        <x:v>https://biomics.lab.nycu.edu.tw/dbPTM/statistics.php | https://topfind.clip.msl.ubc.ca/home/index</x:v>
      </x:c>
      <x:c r="R91" s="158" t="str">
        <x:v>StrucPTM reports 1,434 PDB/mmCIF occurrences but has no functional annotation; TopFIND 4.1 is a live-aging termini/cleavage resource with no verified pyroglutamate subset. Structural occurrences were deliberately not promoted to functional PTM-site coverage.</x:v>
      </x:c>
    </x:row>
    <x:row r="92" ht="33" customHeight="1">
      <x:c r="A92" s="149" t="str">
        <x:v>ADJ091</x:v>
      </x:c>
      <x:c r="B92" s="150" t="str">
        <x:v>Stereoisomerization and racemization</x:v>
      </x:c>
      <x:c r="C92" s="150" t="str">
        <x:v>Residue and terminal remodeling</x:v>
      </x:c>
      <x:c r="D92" s="151" t="n">
        <x:v>1</x:v>
      </x:c>
      <x:c r="E92" s="151" t="n">
        <x:v>0</x:v>
      </x:c>
      <x:c r="F92" s="151" t="n">
        <x:v>0</x:v>
      </x:c>
      <x:c r="G92" s="151" t="n">
        <x:v>0</x:v>
      </x:c>
      <x:c r="H92" s="150" t="str">
        <x:v>none dedicated found</x:v>
      </x:c>
      <x:c r="I92" s="150" t="str">
        <x:v>targeted database, atlas, D-amino-acid, and isoaspartate-resource search</x:v>
      </x:c>
      <x:c r="J92" s="151" t="str">
        <x:v>NONE_FOUND</x:v>
      </x:c>
      <x:c r="K92" s="150" t="str">
        <x:v>no dedicated residue-site inventory</x:v>
      </x:c>
      <x:c r="L92" s="168" t="str">
        <x:v>NR</x:v>
      </x:c>
      <x:c r="M92" s="150" t="str">
        <x:v>no exact family-level count in a dedicated resource</x:v>
      </x:c>
      <x:c r="N92" s="151" t="str">
        <x:v>search completed 2026-08-14</x:v>
      </x:c>
      <x:c r="O92" s="150" t="str">
        <x:v>SEARCHED_NO_DEDICATED_EXPERIMENTAL_SITE_RESOURCE</x:v>
      </x:c>
      <x:c r="P92" s="150" t="str">
        <x:v>DAACP/racemization, isoaspartate, UniProt and enzyme-database search; checked 2026-08-14</x:v>
      </x:c>
      <x:c r="Q92" s="185" t="str">
        <x:v>https://ezcatdb.cbrc.pj.aist.go.jp/EzCatDB/Compound/data/C03306.html</x:v>
      </x:c>
      <x:c r="R92" s="150" t="str">
        <x:v>EzCatDB contains enzyme-reaction entries involving protein L-isoaspartate, not a protein residue-site atlas. No exact site denominator was inferred from enzyme entries or review tables.</x:v>
      </x:c>
    </x:row>
    <x:row r="93" ht="33" customHeight="1">
      <x:c r="A93" s="157" t="str">
        <x:v>ADJ092</x:v>
      </x:c>
      <x:c r="B93" s="158" t="str">
        <x:v>Biotinylation</x:v>
      </x:c>
      <x:c r="C93" s="158" t="str">
        <x:v>Covalent cofactor and chromophore maturation</x:v>
      </x:c>
      <x:c r="D93" s="159" t="n">
        <x:v>1</x:v>
      </x:c>
      <x:c r="E93" s="159" t="n">
        <x:v>1</x:v>
      </x:c>
      <x:c r="F93" s="159" t="n">
        <x:v>1</x:v>
      </x:c>
      <x:c r="G93" s="159" t="n">
        <x:v>1</x:v>
      </x:c>
      <x:c r="H93" s="158" t="str">
        <x:v>CPLM 4.0</x:v>
      </x:c>
      <x:c r="I93" s="158" t="str">
        <x:v>current narrow multi-family experimental site database</x:v>
      </x:c>
      <x:c r="J93" s="159" t="str">
        <x:v>ACTIVE_MAINTAINED</x:v>
      </x:c>
      <x:c r="K93" s="158" t="str">
        <x:v>yes; underlying residue-level events/sites, while the type view reports proteins</x:v>
      </x:c>
      <x:c r="L93" s="170" t="n">
        <x:v>14</x:v>
      </x:c>
      <x:c r="M93" s="158" t="str">
        <x:v>modified proteins in the CPLM type view</x:v>
      </x:c>
      <x:c r="N93" s="159" t="str">
        <x:v>2025-02-10</x:v>
      </x:c>
      <x:c r="O93" s="158" t="str">
        <x:v>ACTIVE_NARROW_MULTI_FAMILY_SITE_DB</x:v>
      </x:c>
      <x:c r="P93" s="158" t="str">
        <x:v>CPLM official live browse/type views and primary update paper; accessed 2026-08-14</x:v>
      </x:c>
      <x:c r="Q93" s="184" t="str">
        <x:v>https://cplm.biocuckoo.cn/Browse.php</x:v>
      </x:c>
      <x:c r="R93" s="158" t="str">
        <x:v>The displayed family number is proteins, not sites; do not add across types because a protein can carry multiple PTMs.</x:v>
      </x:c>
    </x:row>
    <x:row r="94" ht="33" customHeight="1">
      <x:c r="A94" s="149" t="str">
        <x:v>ADJ093</x:v>
      </x:c>
      <x:c r="B94" s="150" t="str">
        <x:v>Covalent porphyrin and dipyrromethane attachment</x:v>
      </x:c>
      <x:c r="C94" s="150" t="str">
        <x:v>Covalent cofactor and chromophore maturation</x:v>
      </x:c>
      <x:c r="D94" s="151" t="n">
        <x:v>1</x:v>
      </x:c>
      <x:c r="E94" s="151" t="n">
        <x:v>0</x:v>
      </x:c>
      <x:c r="F94" s="151" t="n">
        <x:v>0</x:v>
      </x:c>
      <x:c r="G94" s="151" t="n">
        <x:v>0</x:v>
      </x:c>
      <x:c r="H94" s="150" t="str">
        <x:v>PyDISH structural heme resource plus ProteomeScout general integrator</x:v>
      </x:c>
      <x:c r="I94" s="150" t="str">
        <x:v>active structural heme database plus general integrator; no covalent-site-specific database</x:v>
      </x:c>
      <x:c r="J94" s="151" t="str">
        <x:v>STRUCTURAL_AND_GENERAL_ONLY</x:v>
      </x:c>
      <x:c r="K94" s="150" t="str">
        <x:v>structural heme relations; five narrow dipyrromethanemethyl-cysteine records in ProteomeScout</x:v>
      </x:c>
      <x:c r="L94" s="168" t="n">
        <x:v>5</x:v>
      </x:c>
      <x:c r="M94" s="150" t="str">
        <x:v>S-(dipyrrolylmethanemethyl)cysteine general-integrator records</x:v>
      </x:c>
      <x:c r="N94" s="151" t="str">
        <x:v>ProteomeScout TSV 2026-06-02</x:v>
      </x:c>
      <x:c r="O94" s="150" t="str">
        <x:v>NO_DEDICATED_EXPERIMENTAL_COVALENT_SITE_DB</x:v>
      </x:c>
      <x:c r="P94" s="150" t="str">
        <x:v>Exact family term plus database, atlas, repository and site-resource searches; dbPTM, ProteomeScout, UniProt and primary literature cross-check; completed 2026-08-14</x:v>
      </x:c>
      <x:c r="Q94" s="185" t="str">
        <x:v>https://pydish.bio.info.hiroshima-cu.ac.jp/data/ | https://proteomescout.research.virginia.edu/downloads</x:v>
      </x:c>
      <x:c r="R94" s="150" t="str">
        <x:v>PyDISH has 20,590 heme-protein structure entries in 7,582 PDBs but no exact covalent-attachment subset; structural counts are not PTM sites.</x:v>
      </x:c>
    </x:row>
    <x:row r="95" ht="33" customHeight="1">
      <x:c r="A95" s="157" t="str">
        <x:v>ADJ094</x:v>
      </x:c>
      <x:c r="B95" s="158" t="str">
        <x:v>Flavinylation</x:v>
      </x:c>
      <x:c r="C95" s="158" t="str">
        <x:v>Covalent cofactor and chromophore maturation</x:v>
      </x:c>
      <x:c r="D95" s="159" t="n">
        <x:v>1</x:v>
      </x:c>
      <x:c r="E95" s="159" t="n">
        <x:v>0</x:v>
      </x:c>
      <x:c r="F95" s="159" t="n">
        <x:v>0</x:v>
      </x:c>
      <x:c r="G95" s="159" t="n">
        <x:v>0</x:v>
      </x:c>
      <x:c r="H95" s="158" t="str">
        <x:v>ProteomeScout current general integrator</x:v>
      </x:c>
      <x:c r="I95" s="158" t="str">
        <x:v>current general multi-PTM integrator; Flavinista is a flavoprotein catalog, not a covalent-site atlas</x:v>
      </x:c>
      <x:c r="J95" s="159" t="str">
        <x:v>GENERAL_INTEGRATOR_ONLY</x:v>
      </x:c>
      <x:c r="K95" s="158" t="str">
        <x:v>yes; linkage-specific general-integrator residue records</x:v>
      </x:c>
      <x:c r="L95" s="170" t="n">
        <x:v>28</x:v>
      </x:c>
      <x:c r="M95" s="158" t="str">
        <x:v>covalent FAD linkage protein-position records: 4 Pros-8alpha-FAD-His, 11 S-8alpha-FAD-Cys, and 13 Tele-8alpha-FAD-His</x:v>
      </x:c>
      <x:c r="N95" s="159" t="str">
        <x:v>ProteomeScout TSV Last-Modified 2026-06-02</x:v>
      </x:c>
      <x:c r="O95" s="158" t="str">
        <x:v>GENERAL_INTEGRATOR_ONLY_NO_DEDICATED_COVALENT_SITE_DB</x:v>
      </x:c>
      <x:c r="P95" s="158" t="str">
        <x:v>ProteomeScout official download, Flavinista official site, and current flavinylation review; checked 2026-08-14</x:v>
      </x:c>
      <x:c r="Q95" s="184" t="str">
        <x:v>https://proteomescout.research.virginia.edu/downloads | https://www.flavinista.org/advanced | https://pubs.acs.org/doi/10.1021/acs.biochem.6c00163</x:v>
      </x:c>
      <x:c r="R95" s="158" t="str">
        <x:v>A generic FAD record was excluded because it did not specify covalent linkage. The three linkage-specific labels had no duplicated protein-position record.</x:v>
      </x:c>
    </x:row>
    <x:row r="96" ht="33" customHeight="1">
      <x:c r="A96" s="149" t="str">
        <x:v>ADJ095</x:v>
      </x:c>
      <x:c r="B96" s="150" t="str">
        <x:v>Lipoylation</x:v>
      </x:c>
      <x:c r="C96" s="150" t="str">
        <x:v>Covalent cofactor and chromophore maturation</x:v>
      </x:c>
      <x:c r="D96" s="151" t="n">
        <x:v>1</x:v>
      </x:c>
      <x:c r="E96" s="151" t="n">
        <x:v>1</x:v>
      </x:c>
      <x:c r="F96" s="151" t="n">
        <x:v>1</x:v>
      </x:c>
      <x:c r="G96" s="151" t="n">
        <x:v>1</x:v>
      </x:c>
      <x:c r="H96" s="150" t="str">
        <x:v>CPLM 4.0</x:v>
      </x:c>
      <x:c r="I96" s="150" t="str">
        <x:v>current narrow multi-family experimental site database</x:v>
      </x:c>
      <x:c r="J96" s="151" t="str">
        <x:v>ACTIVE_MAINTAINED</x:v>
      </x:c>
      <x:c r="K96" s="150" t="str">
        <x:v>yes; underlying residue-level events/sites, while the type view reports proteins</x:v>
      </x:c>
      <x:c r="L96" s="168" t="n">
        <x:v>37</x:v>
      </x:c>
      <x:c r="M96" s="150" t="str">
        <x:v>modified proteins in the CPLM type view</x:v>
      </x:c>
      <x:c r="N96" s="151" t="str">
        <x:v>2025-02-10</x:v>
      </x:c>
      <x:c r="O96" s="150" t="str">
        <x:v>ACTIVE_NARROW_MULTI_FAMILY_SITE_DB</x:v>
      </x:c>
      <x:c r="P96" s="150" t="str">
        <x:v>CPLM official live browse/type views and primary update paper; accessed 2026-08-14</x:v>
      </x:c>
      <x:c r="Q96" s="185" t="str">
        <x:v>https://cplm.biocuckoo.cn/Browse.php</x:v>
      </x:c>
      <x:c r="R96" s="150" t="str">
        <x:v>The displayed family number is proteins, not sites; do not add across types because a protein can carry multiple PTMs.</x:v>
      </x:c>
    </x:row>
    <x:row r="97" ht="33" customHeight="1">
      <x:c r="A97" s="157" t="str">
        <x:v>ADJ096</x:v>
      </x:c>
      <x:c r="B97" s="158" t="str">
        <x:v>MIO cofactor formation</x:v>
      </x:c>
      <x:c r="C97" s="158" t="str">
        <x:v>Covalent cofactor and chromophore maturation</x:v>
      </x:c>
      <x:c r="D97" s="159" t="n">
        <x:v>1</x:v>
      </x:c>
      <x:c r="E97" s="159" t="n">
        <x:v>0</x:v>
      </x:c>
      <x:c r="F97" s="159" t="n">
        <x:v>0</x:v>
      </x:c>
      <x:c r="G97" s="159" t="n">
        <x:v>0</x:v>
      </x:c>
      <x:c r="H97" s="158" t="str">
        <x:v>primary structural/mechanistic literature</x:v>
      </x:c>
      <x:c r="I97" s="158" t="str">
        <x:v>primary studies; no dedicated site database</x:v>
      </x:c>
      <x:c r="J97" s="159" t="str">
        <x:v>PRIMARY_STUDY_ONLY</x:v>
      </x:c>
      <x:c r="K97" s="158" t="str">
        <x:v>yes; autocatalytic cofactor formation structurally established</x:v>
      </x:c>
      <x:c r="L97" s="170" t="str">
        <x:v>NR</x:v>
      </x:c>
      <x:c r="M97" s="158" t="str">
        <x:v>no exact family-level count in a dedicated resource</x:v>
      </x:c>
      <x:c r="N97" s="159" t="str">
        <x:v>search completed 2026-08-14</x:v>
      </x:c>
      <x:c r="O97" s="158" t="str">
        <x:v>NO_DEDICATED_EXPERIMENTAL_SITE_DB</x:v>
      </x:c>
      <x:c r="P97" s="158" t="str">
        <x:v>Exact family term plus database, atlas, repository and site-resource searches; dbPTM, ProteomeScout, UniProt and primary literature cross-check; completed 2026-08-14</x:v>
      </x:c>
      <x:c r="Q97" s="184" t="str">
        <x:v>https://doi.org/10.1016/j.cbpa.2009.06.013</x:v>
      </x:c>
      <x:c r="R97" s="158" t="str">
        <x:v>NR means not reported or no dedicated-resource denominator; it does not mean zero biological sites.</x:v>
      </x:c>
    </x:row>
    <x:row r="98" ht="33" customHeight="1">
      <x:c r="A98" s="149" t="str">
        <x:v>ADJ097</x:v>
      </x:c>
      <x:c r="B98" s="150" t="str">
        <x:v>Phosphopantetheinylation</x:v>
      </x:c>
      <x:c r="C98" s="150" t="str">
        <x:v>Covalent cofactor and chromophore maturation</x:v>
      </x:c>
      <x:c r="D98" s="151" t="n">
        <x:v>1</x:v>
      </x:c>
      <x:c r="E98" s="151" t="n">
        <x:v>0</x:v>
      </x:c>
      <x:c r="F98" s="151" t="n">
        <x:v>0</x:v>
      </x:c>
      <x:c r="G98" s="151" t="n">
        <x:v>0</x:v>
      </x:c>
      <x:c r="H98" s="150" t="str">
        <x:v>ProteomeScout current general integrator</x:v>
      </x:c>
      <x:c r="I98" s="150" t="str">
        <x:v>current general multi-PTM integrator; PROSITE supplies active motif annotation, not an experimental site atlas</x:v>
      </x:c>
      <x:c r="J98" s="151" t="str">
        <x:v>GENERAL_INTEGRATOR_ONLY</x:v>
      </x:c>
      <x:c r="K98" s="150" t="str">
        <x:v>yes; general-integrator residue records</x:v>
      </x:c>
      <x:c r="L98" s="168" t="n">
        <x:v>19</x:v>
      </x:c>
      <x:c r="M98" s="150" t="str">
        <x:v>O-(pantetheine 4'-phosphoryl)serine protein-position records, all species</x:v>
      </x:c>
      <x:c r="N98" s="151" t="str">
        <x:v>ProteomeScout TSV Last-Modified 2026-06-02</x:v>
      </x:c>
      <x:c r="O98" s="150" t="str">
        <x:v>GENERAL_INTEGRATOR_ONLY_NO_DEDICATED_EXPERIMENTAL_SITE_DB</x:v>
      </x:c>
      <x:c r="P98" s="150" t="str">
        <x:v>ProteomeScout official download and PROSITE PS00012 official entry; checked 2026-08-14</x:v>
      </x:c>
      <x:c r="Q98" s="185" t="str">
        <x:v>https://proteomescout.research.virginia.edu/downloads | https://prosite.expasy.org/PS00012</x:v>
      </x:c>
      <x:c r="R98" s="150" t="str">
        <x:v>PROSITE PS00012 is active and reports 1,264 true-positive motif hits in 993 Swiss-Prot sequences, but those are motif/annotation hits rather than an experiment-only residue-site inventory. The PROSITE count is not substituted for the experimental record count.</x:v>
      </x:c>
    </x:row>
    <x:row r="99" ht="33" customHeight="1">
      <x:c r="A99" s="157" t="str">
        <x:v>ADJ098</x:v>
      </x:c>
      <x:c r="B99" s="158" t="str">
        <x:v>Protein chromophore formation</x:v>
      </x:c>
      <x:c r="C99" s="158" t="str">
        <x:v>Covalent cofactor and chromophore maturation</x:v>
      </x:c>
      <x:c r="D99" s="159" t="n">
        <x:v>1</x:v>
      </x:c>
      <x:c r="E99" s="159" t="n">
        <x:v>0</x:v>
      </x:c>
      <x:c r="F99" s="159" t="n">
        <x:v>0</x:v>
      </x:c>
      <x:c r="G99" s="159" t="n">
        <x:v>0</x:v>
      </x:c>
      <x:c r="H99" s="158" t="str">
        <x:v>FPbase</x:v>
      </x:c>
      <x:c r="I99" s="158" t="str">
        <x:v>active fluorescent-protein property and sequence catalog; not a chromophore residue-site atlas</x:v>
      </x:c>
      <x:c r="J99" s="159" t="str">
        <x:v>ACTIVE_MAINTAINED</x:v>
      </x:c>
      <x:c r="K99" s="158" t="str">
        <x:v>protein-level fluorescence/chromophore properties; no residue-site inventory</x:v>
      </x:c>
      <x:c r="L99" s="170" t="n">
        <x:v>1042</x:v>
      </x:c>
      <x:c r="M99" s="158" t="str">
        <x:v>fluorescent protein records; not chromophore-formation sites</x:v>
      </x:c>
      <x:c r="N99" s="159" t="str">
        <x:v>live official site accessed 2026-08-14</x:v>
      </x:c>
      <x:c r="O99" s="158" t="str">
        <x:v>ACTIVE_NARROW_PROTEIN_PROPERTY_DB_NOT_EXPERIMENTAL_RESIDUE_SITE_ATLAS</x:v>
      </x:c>
      <x:c r="P99" s="158" t="str">
        <x:v>FPbase official site/about page and targeted chromophore-site database search; checked 2026-08-14</x:v>
      </x:c>
      <x:c r="Q99" s="184" t="str">
        <x:v>https://www.fpbase.org/ | https://www.fpbase.org/about/</x:v>
      </x:c>
      <x:c r="R99" s="158" t="str">
        <x:v>The live site also displayed 3,113 spectra. The strict dedicated experimental residue-site flags remain zero because proteins/spectra are not modification-site records.</x:v>
      </x:c>
    </x:row>
    <x:row r="100" ht="33" customHeight="1">
      <x:c r="A100" s="149" t="str">
        <x:v>ADJ099</x:v>
      </x:c>
      <x:c r="B100" s="150" t="str">
        <x:v>Pyridoxal-phosphate attachment</x:v>
      </x:c>
      <x:c r="C100" s="150" t="str">
        <x:v>Covalent cofactor and chromophore maturation</x:v>
      </x:c>
      <x:c r="D100" s="151" t="n">
        <x:v>1</x:v>
      </x:c>
      <x:c r="E100" s="151" t="n">
        <x:v>0</x:v>
      </x:c>
      <x:c r="F100" s="151" t="n">
        <x:v>0</x:v>
      </x:c>
      <x:c r="G100" s="151" t="n">
        <x:v>0</x:v>
      </x:c>
      <x:c r="H100" s="150" t="str">
        <x:v>ProteomeScout current general integrator; B6db live aging enzyme catalog</x:v>
      </x:c>
      <x:c r="I100" s="150" t="str">
        <x:v>current general multi-PTM integrator plus live aging PLP-enzyme sequence/family catalog</x:v>
      </x:c>
      <x:c r="J100" s="151" t="str">
        <x:v>GENERAL_INTEGRATOR_ONLY</x:v>
      </x:c>
      <x:c r="K100" s="150" t="str">
        <x:v>yes; general-integrator residue records</x:v>
      </x:c>
      <x:c r="L100" s="168" t="n">
        <x:v>294</x:v>
      </x:c>
      <x:c r="M100" s="150" t="str">
        <x:v>N6-(pyridoxal phosphate)lysine protein-position records, all species</x:v>
      </x:c>
      <x:c r="N100" s="151" t="str">
        <x:v>ProteomeScout TSV Last-Modified 2026-06-02</x:v>
      </x:c>
      <x:c r="O100" s="150" t="str">
        <x:v>GENERAL_INTEGRATOR_ONLY_NO_DEDICATED_EXPERIMENTAL_SITE_DB</x:v>
      </x:c>
      <x:c r="P100" s="150" t="str">
        <x:v>ProteomeScout official download and B6db official site; checked 2026-08-14</x:v>
      </x:c>
      <x:c r="Q100" s="185" t="str">
        <x:v>https://proteomescout.research.virginia.edu/downloads | https://bioinformatics.unipr.it/cgi-bin/bioinformatics/B6db/home.pl</x:v>
      </x:c>
      <x:c r="R100" s="150" t="str">
        <x:v>B6db responds and reports 348 activities, 358 families, 4,324 sequences and 2,808 references, but it is not an experimental covalent residue-site inventory. The B6db sequence total is not used as a site count.</x:v>
      </x:c>
    </x:row>
    <x:row r="101" ht="33" customHeight="1">
      <x:c r="A101" s="157" t="str">
        <x:v>ADJ100</x:v>
      </x:c>
      <x:c r="B101" s="158" t="str">
        <x:v>Pyruvoyl formation</x:v>
      </x:c>
      <x:c r="C101" s="158" t="str">
        <x:v>Covalent cofactor and chromophore maturation</x:v>
      </x:c>
      <x:c r="D101" s="159" t="n">
        <x:v>1</x:v>
      </x:c>
      <x:c r="E101" s="159" t="n">
        <x:v>0</x:v>
      </x:c>
      <x:c r="F101" s="159" t="n">
        <x:v>0</x:v>
      </x:c>
      <x:c r="G101" s="159" t="n">
        <x:v>0</x:v>
      </x:c>
      <x:c r="H101" s="158" t="str">
        <x:v>dbPTM 2025 general integrator</x:v>
      </x:c>
      <x:c r="I101" s="158" t="str">
        <x:v>current general multi-PTM integrator</x:v>
      </x:c>
      <x:c r="J101" s="159" t="str">
        <x:v>GENERAL_INTEGRATOR_ONLY</x:v>
      </x:c>
      <x:c r="K101" s="158" t="str">
        <x:v>yes; general-integrator residue records</x:v>
      </x:c>
      <x:c r="L101" s="170" t="n">
        <x:v>25</x:v>
      </x:c>
      <x:c r="M101" s="158" t="str">
        <x:v>experimental Pyruvate sites in the fixed dbPTM Release 2024 statistics table</x:v>
      </x:c>
      <x:c r="N101" s="159" t="str">
        <x:v>dbPTM Release 2024; accessed 2026-08-14</x:v>
      </x:c>
      <x:c r="O101" s="158" t="str">
        <x:v>GENERAL_INTEGRATOR_ONLY_NO_DEDICATED_DB</x:v>
      </x:c>
      <x:c r="P101" s="158" t="str">
        <x:v>dbPTM official statistics and targeted dedicated-resource search; checked 2026-08-14</x:v>
      </x:c>
      <x:c r="Q101" s="184" t="str">
        <x:v>https://biomics.lab.nycu.edu.tw/dbPTM/statistics.php</x:v>
      </x:c>
      <x:c r="R101" s="158" t="str">
        <x:v>ProteomeScout separately has 13 Pyruvic acid (Ser) records; counts from the two integrators were not combined. The dbPTM family label is the closest audited general-integrator match.</x:v>
      </x:c>
    </x:row>
    <x:row r="102" ht="33" customHeight="1">
      <x:c r="A102" s="149" t="str">
        <x:v>ADJ101</x:v>
      </x:c>
      <x:c r="B102" s="150" t="str">
        <x:v>Quinone and protein-derived cofactor formation</x:v>
      </x:c>
      <x:c r="C102" s="150" t="str">
        <x:v>Covalent cofactor and chromophore maturation</x:v>
      </x:c>
      <x:c r="D102" s="151" t="n">
        <x:v>1</x:v>
      </x:c>
      <x:c r="E102" s="151" t="n">
        <x:v>0</x:v>
      </x:c>
      <x:c r="F102" s="151" t="n">
        <x:v>0</x:v>
      </x:c>
      <x:c r="G102" s="151" t="n">
        <x:v>0</x:v>
      </x:c>
      <x:c r="H102" s="150" t="str">
        <x:v>ProteomeScout current general integrator; CoFactor historical</x:v>
      </x:c>
      <x:c r="I102" s="150" t="str">
        <x:v>current general multi-PTM integrator with a TPQ subset plus historical cofactor catalog</x:v>
      </x:c>
      <x:c r="J102" s="151" t="str">
        <x:v>GENERAL_INTEGRATOR_ONLY</x:v>
      </x:c>
      <x:c r="K102" s="150" t="str">
        <x:v>yes; partial general-integrator residue records</x:v>
      </x:c>
      <x:c r="L102" s="168" t="n">
        <x:v>36</x:v>
      </x:c>
      <x:c r="M102" s="150" t="str">
        <x:v>2',4',5'-topaquinone protein-position records, all species; TPQ subtype only</x:v>
      </x:c>
      <x:c r="N102" s="151" t="str">
        <x:v>ProteomeScout TSV Last-Modified 2026-06-02</x:v>
      </x:c>
      <x:c r="O102" s="150" t="str">
        <x:v>GENERAL_INTEGRATOR_ONLY_PARTIAL_SUBTYPE_NO_DEDICATED_SITE_DB</x:v>
      </x:c>
      <x:c r="P102" s="150" t="str">
        <x:v>ProteomeScout official download and CoFactor database paper; checked 2026-08-14</x:v>
      </x:c>
      <x:c r="Q102" s="185" t="str">
        <x:v>https://proteomescout.research.virginia.edu/downloads | https://academic.oup.com/bioinformatics/article/26/19/2496/229169</x:v>
      </x:c>
      <x:c r="R102" s="150" t="str">
        <x:v>The historical CoFactor resource described 27 organic cofactor entries, not residue sites, and no current maintained endpoint was verified. The 36 count is TPQ-specific and must not be read as a denominator for every protein-derived quinone cofactor.</x:v>
      </x:c>
    </x:row>
    <x:row r="103" ht="33" customHeight="1">
      <x:c r="A103" s="157" t="str">
        <x:v>ADJ102</x:v>
      </x:c>
      <x:c r="B103" s="158" t="str">
        <x:v>Retinal Schiff-base formation</x:v>
      </x:c>
      <x:c r="C103" s="158" t="str">
        <x:v>Covalent cofactor and chromophore maturation</x:v>
      </x:c>
      <x:c r="D103" s="159" t="n">
        <x:v>1</x:v>
      </x:c>
      <x:c r="E103" s="159" t="n">
        <x:v>0</x:v>
      </x:c>
      <x:c r="F103" s="159" t="n">
        <x:v>0</x:v>
      </x:c>
      <x:c r="G103" s="159" t="n">
        <x:v>0</x:v>
      </x:c>
      <x:c r="H103" s="158" t="str">
        <x:v>ProteomeScout current general integrator; MicRhoDE live aging sequence database</x:v>
      </x:c>
      <x:c r="I103" s="158" t="str">
        <x:v>current general multi-PTM integrator plus live aging microbial-rhodopsin sequence catalog</x:v>
      </x:c>
      <x:c r="J103" s="159" t="str">
        <x:v>GENERAL_INTEGRATOR_ONLY</x:v>
      </x:c>
      <x:c r="K103" s="158" t="str">
        <x:v>yes; general-integrator residue records</x:v>
      </x:c>
      <x:c r="L103" s="170" t="n">
        <x:v>33</x:v>
      </x:c>
      <x:c r="M103" s="158" t="str">
        <x:v>N6-(retinylidene)lysine protein-position records, all species</x:v>
      </x:c>
      <x:c r="N103" s="159" t="str">
        <x:v>ProteomeScout TSV Last-Modified 2026-06-02</x:v>
      </x:c>
      <x:c r="O103" s="158" t="str">
        <x:v>GENERAL_INTEGRATOR_ONLY_NO_DEDICATED_EXPERIMENTAL_SITE_DB</x:v>
      </x:c>
      <x:c r="P103" s="158" t="str">
        <x:v>ProteomeScout official download, MicRhoDE portal and primary paper; checked 2026-08-14</x:v>
      </x:c>
      <x:c r="Q103" s="184" t="str">
        <x:v>https://proteomescout.research.virginia.edu/downloads | https://abims.sb-roscoff.fr/micrhode/ | https://pmc.ncbi.nlm.nih.gov/articles/PMC4539915/</x:v>
      </x:c>
      <x:c r="R103" s="158" t="str">
        <x:v>MicRhoDE's 2015 publication reported 7,857 type-1 rhodopsin sequences, largely sequence/environmental records rather than experimentally verified retinal-linkage sites. The MicRhoDE sequence count is not used as a site denominator.</x:v>
      </x:c>
    </x:row>
    <x:row r="104" ht="33" customHeight="1">
      <x:c r="A104" s="149" t="str">
        <x:v>ADJ103</x:v>
      </x:c>
      <x:c r="B104" s="150" t="str">
        <x:v>S-selanylation</x:v>
      </x:c>
      <x:c r="C104" s="150" t="str">
        <x:v>Covalent cofactor and chromophore maturation</x:v>
      </x:c>
      <x:c r="D104" s="151" t="n">
        <x:v>1</x:v>
      </x:c>
      <x:c r="E104" s="151" t="n">
        <x:v>0</x:v>
      </x:c>
      <x:c r="F104" s="151" t="n">
        <x:v>0</x:v>
      </x:c>
      <x:c r="G104" s="151" t="n">
        <x:v>0</x:v>
      </x:c>
      <x:c r="H104" s="150" t="str">
        <x:v>dbPTM 2025 general integrator</x:v>
      </x:c>
      <x:c r="I104" s="150" t="str">
        <x:v>current general multi-PTM integrator</x:v>
      </x:c>
      <x:c r="J104" s="151" t="str">
        <x:v>GENERAL_INTEGRATOR_ONLY</x:v>
      </x:c>
      <x:c r="K104" s="150" t="str">
        <x:v>no experimental records in the current table</x:v>
      </x:c>
      <x:c r="L104" s="168" t="n">
        <x:v>0</x:v>
      </x:c>
      <x:c r="M104" s="150" t="str">
        <x:v>experimental S-selanylation sites in the fixed dbPTM Release 2024 statistics table</x:v>
      </x:c>
      <x:c r="N104" s="151" t="str">
        <x:v>dbPTM Release 2024; accessed 2026-08-14</x:v>
      </x:c>
      <x:c r="O104" s="150" t="str">
        <x:v>GENERAL_INTEGRATOR_ONLY_ZERO_EXPERIMENTAL_NO_DEDICATED_DB</x:v>
      </x:c>
      <x:c r="P104" s="150" t="str">
        <x:v>dbPTM official statistics and targeted dedicated-resource search; checked 2026-08-14</x:v>
      </x:c>
      <x:c r="Q104" s="185" t="str">
        <x:v>https://biomics.lab.nycu.edu.tw/dbPTM/statistics.php</x:v>
      </x:c>
      <x:c r="R104" s="150" t="str">
        <x:v>dbPTM reports four putative sites. Zero is the table's exact experimental count, not proof that the chemistry never occurs.</x:v>
      </x:c>
    </x:row>
    <x:row r="105" ht="33" customHeight="1">
      <x:c r="A105" s="157" t="str">
        <x:v>ADJ104</x:v>
      </x:c>
      <x:c r="B105" s="158" t="str">
        <x:v>Dehydroamino-acid and thioether crosslinking</x:v>
      </x:c>
      <x:c r="C105" s="158" t="str">
        <x:v>Endogenous crosslinking</x:v>
      </x:c>
      <x:c r="D105" s="159" t="n">
        <x:v>1</x:v>
      </x:c>
      <x:c r="E105" s="159" t="n">
        <x:v>0</x:v>
      </x:c>
      <x:c r="F105" s="159" t="n">
        <x:v>0</x:v>
      </x:c>
      <x:c r="G105" s="159" t="n">
        <x:v>0</x:v>
      </x:c>
      <x:c r="H105" s="158" t="str">
        <x:v>LantiBase</x:v>
      </x:c>
      <x:c r="I105" s="158" t="str">
        <x:v>live static lantibiotic sequence/structure catalog; not an experimental residue-crosslink site atlas</x:v>
      </x:c>
      <x:c r="J105" s="159" t="str">
        <x:v>LIVE_STATIC</x:v>
      </x:c>
      <x:c r="K105" s="158" t="str">
        <x:v>sequence and structure annotations; no strict experimental bridge-site inventory</x:v>
      </x:c>
      <x:c r="L105" s="170" t="n">
        <x:v>37</x:v>
      </x:c>
      <x:c r="M105" s="158" t="str">
        <x:v>lantibiotic sequence/structure entries; not crosslink sites</x:v>
      </x:c>
      <x:c r="N105" s="159" t="str">
        <x:v>legacy database based on UniProt 2015; portal accessed 2026-08-14</x:v>
      </x:c>
      <x:c r="O105" s="158" t="str">
        <x:v>LIVE_STATIC_NARROW_SEQUENCE_RESOURCE_NOT_EXPERIMENTAL_SITE_ATLAS</x:v>
      </x:c>
      <x:c r="P105" s="158" t="str">
        <x:v>LantiBase official portal and current CysDBase paper; checked 2026-08-14</x:v>
      </x:c>
      <x:c r="Q105" s="184" t="str">
        <x:v>https://lantibase.weebly.com/ | https://pmc.ncbi.nlm.nih.gov/articles/PMC13161762/</x:v>
      </x:c>
      <x:c r="R105" s="158" t="str">
        <x:v>CysDBase 2026 contains 12,626 thioether-annotated cysteine entries, but its mixed inferred/predicted evidence and broad chemistry do not provide a strict experimental family denominator. The LantiBase entry count is retained only with its non-site unit.</x:v>
      </x:c>
    </x:row>
    <x:row r="106" ht="33" customHeight="1">
      <x:c r="A106" s="149" t="str">
        <x:v>ADJ105</x:v>
      </x:c>
      <x:c r="B106" s="150" t="str">
        <x:v>Disulfide formation</x:v>
      </x:c>
      <x:c r="C106" s="150" t="str">
        <x:v>Endogenous crosslinking</x:v>
      </x:c>
      <x:c r="D106" s="151" t="n">
        <x:v>1</x:v>
      </x:c>
      <x:c r="E106" s="151" t="n">
        <x:v>1</x:v>
      </x:c>
      <x:c r="F106" s="151" t="n">
        <x:v>1</x:v>
      </x:c>
      <x:c r="G106" s="151" t="n">
        <x:v>1</x:v>
      </x:c>
      <x:c r="H106" s="150" t="str">
        <x:v>dbSNO 3.0</x:v>
      </x:c>
      <x:c r="I106" s="150" t="str">
        <x:v>current narrow multi-family experimental cysteine-modification site database</x:v>
      </x:c>
      <x:c r="J106" s="151" t="str">
        <x:v>ACTIVE_MAINTAINED</x:v>
      </x:c>
      <x:c r="K106" s="150" t="str">
        <x:v>yes; experimentally supported disulfide cysteine instances</x:v>
      </x:c>
      <x:c r="L106" s="168" t="n">
        <x:v>9916</x:v>
      </x:c>
      <x:c r="M106" s="150" t="str">
        <x:v>disulfide cysteine site instances</x:v>
      </x:c>
      <x:c r="N106" s="151" t="str">
        <x:v>dbSNO 3.0 statistics current 2025-06; accessed 2026-08-14</x:v>
      </x:c>
      <x:c r="O106" s="150" t="str">
        <x:v>ACTIVE_NARROW_MULTI_FAMILY_SITE_DB</x:v>
      </x:c>
      <x:c r="P106" s="150" t="str">
        <x:v>dbSNO official statistics plus DSDBASE and CysDBase comparison; checked 2026-08-14</x:v>
      </x:c>
      <x:c r="Q106" s="185" t="str">
        <x:v>https://biomics.lab.nycu.edu.tw/dbSNO/statistics.php</x:v>
      </x:c>
      <x:c r="R106" s="150" t="str">
        <x:v>DSDBASE 2.0 is an unavailable historical structural catalog with 216,096 native PDB disulfide segments; CysDBase 2026 reports 1,717,922 disulfide cysteine entries with mixed annotation evidence. Structural segments and inferred/mixed entries were not added to the experimental dbSNO count.</x:v>
      </x:c>
    </x:row>
    <x:row r="107" ht="33" customHeight="1">
      <x:c r="A107" s="157" t="str">
        <x:v>ADJ106</x:v>
      </x:c>
      <x:c r="B107" s="158" t="str">
        <x:v>Dityrosine and isodityrosine crosslinking</x:v>
      </x:c>
      <x:c r="C107" s="158" t="str">
        <x:v>Endogenous crosslinking</x:v>
      </x:c>
      <x:c r="D107" s="159" t="n">
        <x:v>1</x:v>
      </x:c>
      <x:c r="E107" s="159" t="n">
        <x:v>0</x:v>
      </x:c>
      <x:c r="F107" s="159" t="n">
        <x:v>0</x:v>
      </x:c>
      <x:c r="G107" s="159" t="n">
        <x:v>0</x:v>
      </x:c>
      <x:c r="H107" s="158" t="str">
        <x:v>none dedicated found</x:v>
      </x:c>
      <x:c r="I107" s="158" t="str">
        <x:v>targeted database, crosslink-atlas, and primary-literature search</x:v>
      </x:c>
      <x:c r="J107" s="159" t="str">
        <x:v>NONE_FOUND</x:v>
      </x:c>
      <x:c r="K107" s="158" t="str">
        <x:v>experimental study datasets exist; no maintained database inventory</x:v>
      </x:c>
      <x:c r="L107" s="170" t="str">
        <x:v>NR</x:v>
      </x:c>
      <x:c r="M107" s="158" t="str">
        <x:v>no exact family-level count in a dedicated resource</x:v>
      </x:c>
      <x:c r="N107" s="159" t="str">
        <x:v>search completed 2026-08-14</x:v>
      </x:c>
      <x:c r="O107" s="158" t="str">
        <x:v>SEARCHED_NO_DEDICATED_EXPERIMENTAL_SITE_RESOURCE</x:v>
      </x:c>
      <x:c r="P107" s="158" t="str">
        <x:v>dityrosine/isodityrosine crosslink literature and targeted resource search; checked 2026-08-14</x:v>
      </x:c>
      <x:c r="Q107" s="184" t="str">
        <x:v>https://pmc.ncbi.nlm.nih.gov/articles/PMC10135038/</x:v>
      </x:c>
      <x:c r="R107" s="158" t="str">
        <x:v>A 2023 E. coli study reported 71 dityrosine crosslinks and 410 dityrosine loop links on 352 proteins; these are study-specific results, not a database denominator. Study counts were not entered as a database count.</x:v>
      </x:c>
    </x:row>
    <x:row r="108" ht="33" customHeight="1">
      <x:c r="A108" s="149" t="str">
        <x:v>ADJ107</x:v>
      </x:c>
      <x:c r="B108" s="150" t="str">
        <x:v>Non-tag isopeptide crosslinking</x:v>
      </x:c>
      <x:c r="C108" s="150" t="str">
        <x:v>Endogenous crosslinking</x:v>
      </x:c>
      <x:c r="D108" s="151" t="n">
        <x:v>1</x:v>
      </x:c>
      <x:c r="E108" s="151" t="n">
        <x:v>1</x:v>
      </x:c>
      <x:c r="F108" s="151" t="n">
        <x:v>1</x:v>
      </x:c>
      <x:c r="G108" s="151" t="n">
        <x:v>0</x:v>
      </x:c>
      <x:c r="H108" s="150" t="str">
        <x:v>Isopeptor open atlas and dataset</x:v>
      </x:c>
      <x:c r="I108" s="150" t="str">
        <x:v>recent primary atlas of experimentally resolved natural intramolecular isopeptide bonds</x:v>
      </x:c>
      <x:c r="J108" s="151" t="str">
        <x:v>ACTIVE_CURRENT_ATLAS</x:v>
      </x:c>
      <x:c r="K108" s="150" t="str">
        <x:v>yes; PDB-resolved isopeptide-bond structure-chain records</x:v>
      </x:c>
      <x:c r="L108" s="168" t="n">
        <x:v>193</x:v>
      </x:c>
      <x:c r="M108" s="150" t="str">
        <x:v>non-mutant natural CnaA/CnaB isopeptide-bond structure-chain rows spanning 99 PDB entries</x:v>
      </x:c>
      <x:c r="N108" s="151" t="str">
        <x:v>dataset snapshot 2024-12-09</x:v>
      </x:c>
      <x:c r="O108" s="150" t="str">
        <x:v>ACTIVE_CURRENT_EXPERIMENTAL_ATLAS_NO_RECURRING_DATABASE_MAINTENANCE_CLAIM</x:v>
      </x:c>
      <x:c r="P108" s="150" t="str">
        <x:v>Isopeptor primary paper and open source dataset; dataset independently row-audited 2026-08-14</x:v>
      </x:c>
      <x:c r="Q108" s="185" t="str">
        <x:v>https://pmc.ncbi.nlm.nih.gov/articles/PMC11919812/ | https://github.com/FranceCosta/Isopeptor_development/blob/main/data/tables/20241209_isopeptideBonds.csv</x:v>
      </x:c>
      <x:c r="R108" s="150" t="str">
        <x:v>The source table has 198 bonded rows across 101 PDB codes when five mutant records are included. Historical TRANSIT covered a transglutaminase subtype but is unavailable. The 193 value excludes mutant constructs and is a row count, not a globally deduplicated residue-pair count.</x:v>
      </x:c>
    </x:row>
    <x:row r="109" ht="33" customHeight="1">
      <x:c r="A109" s="157" t="str">
        <x:v>ADJ108</x:v>
      </x:c>
      <x:c r="B109" s="158" t="str">
        <x:v>NOS/SONOS redox crosslinking</x:v>
      </x:c>
      <x:c r="C109" s="158" t="str">
        <x:v>Endogenous crosslinking</x:v>
      </x:c>
      <x:c r="D109" s="159" t="n">
        <x:v>1</x:v>
      </x:c>
      <x:c r="E109" s="159" t="n">
        <x:v>0</x:v>
      </x:c>
      <x:c r="F109" s="159" t="n">
        <x:v>0</x:v>
      </x:c>
      <x:c r="G109" s="159" t="n">
        <x:v>0</x:v>
      </x:c>
      <x:c r="H109" s="158" t="str">
        <x:v>2022 primary PDB-wide structural survey</x:v>
      </x:c>
      <x:c r="I109" s="158" t="str">
        <x:v>family-specific structural survey dataset; not a maintained database</x:v>
      </x:c>
      <x:c r="J109" s="159" t="str">
        <x:v>STRUCTURAL_ATLAS_ONLY</x:v>
      </x:c>
      <x:c r="K109" s="158" t="str">
        <x:v>yes/likely in re-refined experimental structures</x:v>
      </x:c>
      <x:c r="L109" s="170" t="n">
        <x:v>150</x:v>
      </x:c>
      <x:c r="M109" s="158" t="str">
        <x:v>approximately 100 likely plus 50 possible structure datasets; rounded survey estimate</x:v>
      </x:c>
      <x:c r="N109" s="159" t="str">
        <x:v>PDB survey 2020; paper 2022</x:v>
      </x:c>
      <x:c r="O109" s="158" t="str">
        <x:v>STRUCTURAL_ATLAS_ONLY_NO_DEDICATED_SITE_DB</x:v>
      </x:c>
      <x:c r="P109" s="158" t="str">
        <x:v>Exact family term plus database, atlas, repository and site-resource searches; dbPTM, ProteomeScout, UniProt and primary literature cross-check; completed 2026-08-14</x:v>
      </x:c>
      <x:c r="Q109" s="184" t="str">
        <x:v>https://pmc.ncbi.nlm.nih.gov/articles/PMC8964421/</x:v>
      </x:c>
      <x:c r="R109" s="158" t="str">
        <x:v>The source reports approximate likelihood classes, not a curated unique biological site denominator.</x:v>
      </x:c>
    </x:row>
    <x:row r="110" ht="33" customHeight="1">
      <x:c r="A110" s="149" t="str">
        <x:v>ADJ109</x:v>
      </x:c>
      <x:c r="B110" s="150" t="str">
        <x:v>Sulfilimine crosslinking</x:v>
      </x:c>
      <x:c r="C110" s="150" t="str">
        <x:v>Endogenous crosslinking</x:v>
      </x:c>
      <x:c r="D110" s="151" t="n">
        <x:v>1</x:v>
      </x:c>
      <x:c r="E110" s="151" t="n">
        <x:v>0</x:v>
      </x:c>
      <x:c r="F110" s="151" t="n">
        <x:v>0</x:v>
      </x:c>
      <x:c r="G110" s="151" t="n">
        <x:v>0</x:v>
      </x:c>
      <x:c r="H110" s="150" t="str">
        <x:v>Reactome event and primary collagen IV studies</x:v>
      </x:c>
      <x:c r="I110" s="150" t="str">
        <x:v>pathway/mechanism records; no dedicated site database</x:v>
      </x:c>
      <x:c r="J110" s="151" t="str">
        <x:v>PATHWAY_AND_PRIMARY_ONLY</x:v>
      </x:c>
      <x:c r="K110" s="150" t="str">
        <x:v>yes; crosslinks experimentally established</x:v>
      </x:c>
      <x:c r="L110" s="168" t="str">
        <x:v>NR</x:v>
      </x:c>
      <x:c r="M110" s="150" t="str">
        <x:v>no exact family-level count in a dedicated resource</x:v>
      </x:c>
      <x:c r="N110" s="151" t="str">
        <x:v>search completed 2026-08-14</x:v>
      </x:c>
      <x:c r="O110" s="150" t="str">
        <x:v>NO_DEDICATED_EXPERIMENTAL_SITE_DB</x:v>
      </x:c>
      <x:c r="P110" s="150" t="str">
        <x:v>Exact family term plus database, atlas, repository and site-resource searches; dbPTM, ProteomeScout, UniProt and primary literature cross-check; completed 2026-08-14</x:v>
      </x:c>
      <x:c r="Q110" s="185" t="str">
        <x:v>https://reactome.org/content/schema/instance/browser/9926832</x:v>
      </x:c>
      <x:c r="R110" s="150" t="str">
        <x:v>NR means not reported or no dedicated-resource denominator; it does not mean zero biological sites.</x:v>
      </x:c>
    </x:row>
    <x:row r="111" ht="33" customHeight="1">
      <x:c r="A111" s="157" t="str">
        <x:v>ADJ110</x:v>
      </x:c>
      <x:c r="B111" s="158" t="str">
        <x:v>Protein splicing</x:v>
      </x:c>
      <x:c r="C111" s="158" t="str">
        <x:v>Backbone processing and rearrangement</x:v>
      </x:c>
      <x:c r="D111" s="159" t="n">
        <x:v>1</x:v>
      </x:c>
      <x:c r="E111" s="159" t="n">
        <x:v>1</x:v>
      </x:c>
      <x:c r="F111" s="159" t="n">
        <x:v>1</x:v>
      </x:c>
      <x:c r="G111" s="159" t="n">
        <x:v>0</x:v>
      </x:c>
      <x:c r="H111" s="158" t="str">
        <x:v>InBase 2.0 beta</x:v>
      </x:c>
      <x:c r="I111" s="158" t="str">
        <x:v>live static dedicated intein sequence/insertion registry</x:v>
      </x:c>
      <x:c r="J111" s="159" t="str">
        <x:v>LIVE_STATIC</x:v>
      </x:c>
      <x:c r="K111" s="158" t="str">
        <x:v>mixed submitted, approved, and experimentally characterized sequence records; no strict splicing-event site denominator</x:v>
      </x:c>
      <x:c r="L111" s="170" t="n">
        <x:v>1119</x:v>
      </x:c>
      <x:c r="M111" s="158" t="str">
        <x:v>intein sequence records; not experimentally observed splicing-event sites</x:v>
      </x:c>
      <x:c r="N111" s="159" t="str">
        <x:v>live page generated 2026-08-14; host says beta is not maintained</x:v>
      </x:c>
      <x:c r="O111" s="158" t="str">
        <x:v>LIVE_STATIC_DEDICATED_SEQUENCE_DB_NO_STRICT_SITE_COUNT</x:v>
      </x:c>
      <x:c r="P111" s="158" t="str">
        <x:v>InBase 2.0 live page, preserved old InBase, and primary registry papers; checked 2026-08-14</x:v>
      </x:c>
      <x:c r="Q111" s="184" t="str">
        <x:v>https://inbase.ligsciss.com/index.php?r=site%2Findex</x:v>
      </x:c>
      <x:c r="R111" s="158" t="str">
        <x:v>The preserved old InBase has 585 inteins. The live 1,119-record count is retained with its sequence-record unit and maintenance caveat.</x:v>
      </x:c>
    </x:row>
    <x:row r="112" ht="33" customHeight="1">
      <x:c r="A112" s="153" t="str">
        <x:v>ADJ111</x:v>
      </x:c>
      <x:c r="B112" s="154" t="str">
        <x:v>Proteolytic cleavage and processing</x:v>
      </x:c>
      <x:c r="C112" s="154" t="str">
        <x:v>Backbone processing and rearrangement</x:v>
      </x:c>
      <x:c r="D112" s="155" t="n">
        <x:v>1</x:v>
      </x:c>
      <x:c r="E112" s="155" t="n">
        <x:v>1</x:v>
      </x:c>
      <x:c r="F112" s="155" t="n">
        <x:v>1</x:v>
      </x:c>
      <x:c r="G112" s="155" t="n">
        <x:v>1</x:v>
      </x:c>
      <x:c r="H112" s="154" t="str">
        <x:v>CaspSites current experimental subtype plus MEROPS 12.5 broad cleavage relations</x:v>
      </x:c>
      <x:c r="I112" s="154" t="str">
        <x:v>active dedicated caspase-cleavage site database plus live aging broad protease-cleavage database</x:v>
      </x:c>
      <x:c r="J112" s="155" t="str">
        <x:v>ACTIVE_MAINTAINED</x:v>
      </x:c>
      <x:c r="K112" s="154" t="str">
        <x:v>yes; exact experimental subtype sites plus broad curated cleavage relations</x:v>
      </x:c>
      <x:c r="L112" s="169" t="n">
        <x:v>3031</x:v>
      </x:c>
      <x:c r="M112" s="154" t="str">
        <x:v>unique P1-Asp caspase cleavage sites in CaspSites</x:v>
      </x:c>
      <x:c r="N112" s="155" t="str">
        <x:v>live dataset audited 2026-08-14</x:v>
      </x:c>
      <x:c r="O112" s="154" t="str">
        <x:v>ACTIVE_DEDICATED_SUBTYPE_AND_LIVE_AGING_BROAD_DB</x:v>
      </x:c>
      <x:c r="P112" s="154" t="str">
        <x:v>CaspSites live data, MEROPS official tables, CutDB/DegraBase/CASBAH and DICED primary sources; checked 2026-08-14</x:v>
      </x:c>
      <x:c r="Q112" s="186" t="str">
        <x:v>https://www.caspsites.org/about/ | https://www.ebi.ac.uk/merops/cgi-bin/substrate_count?action=G | https://pmc.ncbi.nlm.nih.gov/articles/PMC12246766/</x:v>
      </x:c>
      <x:c r="R112" s="154" t="str">
        <x:v>CaspSites also reports 2,022 proteins. MEROPS 12.5 separately reports 11,347 physiological and 115,062 nonphysiological cleavage relations; DICED is a current disease-focused N-terminomics resource without a verified live total in this audit. The headline exact count is the active experimental caspase subtype, not the full processing family.</x:v>
      </x:c>
    </x:row>
  </x:sheetData>
  <x:conditionalFormatting sqref="J2:J112">
    <x:cfRule type="containsText" dxfId="35" priority="1" operator="containsText" text="ACTIVE"/>
    <x:cfRule type="containsText" dxfId="36" priority="2" operator="containsText" text="LIVE"/>
    <x:cfRule type="containsText" dxfId="37" priority="3" operator="containsText" text="UNAVAILABLE"/>
    <x:cfRule type="containsText" dxfId="38" priority="4" operator="containsText" text="RETIRED"/>
    <x:cfRule type="containsText" dxfId="39" priority="5" operator="containsText" text="SUPERSEDED"/>
    <x:cfRule type="containsText" dxfId="40" priority="6" operator="containsText" text="BROKEN"/>
    <x:cfRule type="containsText" dxfId="41" priority="7" operator="containsText" text="NONE"/>
    <x:cfRule type="containsText" dxfId="42" priority="8" operator="containsText" text="NO_DEDICATED"/>
    <x:cfRule type="containsText" dxfId="43" priority="9" operator="containsText" text="GENERAL"/>
    <x:cfRule type="containsText" dxfId="44" priority="10" operator="containsText" text="PRIMARY"/>
    <x:cfRule type="containsText" dxfId="45" priority="11" operator="containsText" text="STRUCTURAL"/>
    <x:cfRule type="containsText" dxfId="46" priority="12" operator="containsText" text="MOTIF_RESOURCE"/>
    <x:cfRule type="containsText" dxfId="47" priority="13" operator="containsText" text="PATHWAY"/>
    <x:cfRule type="containsText" dxfId="48" priority="14" operator="containsText" text="ENZYME_RESOURCE"/>
    <x:cfRule type="containsText" dxfId="49" priority="15" operator="containsText" text="SITE_DATASET"/>
    <x:cfRule type="containsText" dxfId="50" priority="16" operator="containsText" text="SITE_ATLAS"/>
    <x:cfRule type="containsText" dxfId="51" priority="17" operator="containsText" text="STALE"/>
    <x:cfRule type="containsText" dxfId="52" priority="18" operator="containsText" text="STATIC"/>
  </x:conditionalFormatting>
  <x:hyperlinks>
    <x:hyperlink ref="Q2" r:id="rIdHyperlink1"/>
    <x:hyperlink ref="Q3" r:id="rIdHyperlink2"/>
    <x:hyperlink ref="Q4" r:id="rIdHyperlink3"/>
    <x:hyperlink ref="Q5" r:id="rIdHyperlink4"/>
    <x:hyperlink ref="Q6" r:id="rIdHyperlink5"/>
    <x:hyperlink ref="Q7" r:id="rIdHyperlink6"/>
    <x:hyperlink ref="Q8" r:id="rIdHyperlink7"/>
    <x:hyperlink ref="Q9" r:id="rIdHyperlink8"/>
    <x:hyperlink ref="Q10" r:id="rIdHyperlink9"/>
    <x:hyperlink ref="Q11" r:id="rIdHyperlink10"/>
    <x:hyperlink ref="Q12" r:id="rIdHyperlink11"/>
    <x:hyperlink ref="Q13" r:id="rIdHyperlink12"/>
    <x:hyperlink ref="Q14" r:id="rIdHyperlink13"/>
    <x:hyperlink ref="Q15" r:id="rIdHyperlink14"/>
    <x:hyperlink ref="Q16" r:id="rIdHyperlink15"/>
    <x:hyperlink ref="Q17" r:id="rIdHyperlink16"/>
    <x:hyperlink ref="Q18" r:id="rIdHyperlink17"/>
    <x:hyperlink ref="Q19" r:id="rIdHyperlink18"/>
    <x:hyperlink ref="Q20" r:id="rIdHyperlink19"/>
    <x:hyperlink ref="Q21" r:id="rIdHyperlink20"/>
    <x:hyperlink ref="Q22" r:id="rIdHyperlink21"/>
    <x:hyperlink ref="Q23" r:id="rIdHyperlink22"/>
    <x:hyperlink ref="Q24" r:id="rIdHyperlink23"/>
    <x:hyperlink ref="Q25" r:id="rIdHyperlink24"/>
    <x:hyperlink ref="Q26" r:id="rIdHyperlink25"/>
    <x:hyperlink ref="Q27" r:id="rIdHyperlink26"/>
    <x:hyperlink ref="Q28" r:id="rIdHyperlink27"/>
    <x:hyperlink ref="Q29" r:id="rIdHyperlink28"/>
    <x:hyperlink ref="Q30" r:id="rIdHyperlink29"/>
    <x:hyperlink ref="Q31" r:id="rIdHyperlink30"/>
    <x:hyperlink ref="Q32" r:id="rIdHyperlink31"/>
    <x:hyperlink ref="Q33" r:id="rIdHyperlink32"/>
    <x:hyperlink ref="Q34" r:id="rIdHyperlink33"/>
    <x:hyperlink ref="Q35" r:id="rIdHyperlink34"/>
    <x:hyperlink ref="Q36" r:id="rIdHyperlink35"/>
    <x:hyperlink ref="Q37" r:id="rIdHyperlink36"/>
    <x:hyperlink ref="Q38" r:id="rIdHyperlink37"/>
    <x:hyperlink ref="Q39" r:id="rIdHyperlink38"/>
    <x:hyperlink ref="Q40" r:id="rIdHyperlink39"/>
    <x:hyperlink ref="Q41" r:id="rIdHyperlink40"/>
    <x:hyperlink ref="Q42" r:id="rIdHyperlink41"/>
    <x:hyperlink ref="Q43" r:id="rIdHyperlink42"/>
    <x:hyperlink ref="Q44" r:id="rIdHyperlink43"/>
    <x:hyperlink ref="Q45" r:id="rIdHyperlink44"/>
    <x:hyperlink ref="Q46" r:id="rIdHyperlink45"/>
    <x:hyperlink ref="Q47" r:id="rIdHyperlink46"/>
    <x:hyperlink ref="Q48" r:id="rIdHyperlink47"/>
    <x:hyperlink ref="Q49" r:id="rIdHyperlink48"/>
    <x:hyperlink ref="Q50" r:id="rIdHyperlink49"/>
    <x:hyperlink ref="Q51" r:id="rIdHyperlink50"/>
    <x:hyperlink ref="Q52" r:id="rIdHyperlink51"/>
    <x:hyperlink ref="Q53" r:id="rIdHyperlink52"/>
    <x:hyperlink ref="Q54" r:id="rIdHyperlink53"/>
    <x:hyperlink ref="Q55" r:id="rIdHyperlink54"/>
    <x:hyperlink ref="Q56" r:id="rIdHyperlink55"/>
    <x:hyperlink ref="Q57" r:id="rIdHyperlink56"/>
    <x:hyperlink ref="Q58" r:id="rIdHyperlink57"/>
    <x:hyperlink ref="Q59" r:id="rIdHyperlink58"/>
    <x:hyperlink ref="Q60" r:id="rIdHyperlink59"/>
    <x:hyperlink ref="Q61" r:id="rIdHyperlink60"/>
    <x:hyperlink ref="Q62" r:id="rIdHyperlink61"/>
    <x:hyperlink ref="Q63" r:id="rIdHyperlink62"/>
    <x:hyperlink ref="Q64" r:id="rIdHyperlink63"/>
    <x:hyperlink ref="Q65" r:id="rIdHyperlink64"/>
    <x:hyperlink ref="Q66" r:id="rIdHyperlink65"/>
    <x:hyperlink ref="Q67" r:id="rIdHyperlink66"/>
    <x:hyperlink ref="Q68" r:id="rIdHyperlink67"/>
    <x:hyperlink ref="Q69" r:id="rIdHyperlink68"/>
    <x:hyperlink ref="Q70" r:id="rIdHyperlink69"/>
    <x:hyperlink ref="Q71" r:id="rIdHyperlink70"/>
    <x:hyperlink ref="Q72" r:id="rIdHyperlink71"/>
    <x:hyperlink ref="Q73" r:id="rIdHyperlink72"/>
    <x:hyperlink ref="Q74" r:id="rIdHyperlink73"/>
    <x:hyperlink ref="Q75" r:id="rIdHyperlink74"/>
    <x:hyperlink ref="Q76" r:id="rIdHyperlink75"/>
    <x:hyperlink ref="Q77" r:id="rIdHyperlink76"/>
    <x:hyperlink ref="Q78" r:id="rIdHyperlink77"/>
    <x:hyperlink ref="Q79" r:id="rIdHyperlink78"/>
    <x:hyperlink ref="Q80" r:id="rIdHyperlink79"/>
    <x:hyperlink ref="Q81" r:id="rIdHyperlink80"/>
    <x:hyperlink ref="Q82" r:id="rIdHyperlink81"/>
    <x:hyperlink ref="Q83" r:id="rIdHyperlink82"/>
    <x:hyperlink ref="Q84" r:id="rIdHyperlink83"/>
    <x:hyperlink ref="Q85" r:id="rIdHyperlink84"/>
    <x:hyperlink ref="Q86" r:id="rIdHyperlink85"/>
    <x:hyperlink ref="Q87" r:id="rIdHyperlink86"/>
    <x:hyperlink ref="Q88" r:id="rIdHyperlink87"/>
    <x:hyperlink ref="Q89" r:id="rIdHyperlink88"/>
    <x:hyperlink ref="Q90" r:id="rIdHyperlink89"/>
    <x:hyperlink ref="Q91" r:id="rIdHyperlink90"/>
    <x:hyperlink ref="Q92" r:id="rIdHyperlink91"/>
    <x:hyperlink ref="Q93" r:id="rIdHyperlink92"/>
    <x:hyperlink ref="Q94" r:id="rIdHyperlink93"/>
    <x:hyperlink ref="Q95" r:id="rIdHyperlink94"/>
    <x:hyperlink ref="Q96" r:id="rIdHyperlink95"/>
    <x:hyperlink ref="Q97" r:id="rIdHyperlink96"/>
    <x:hyperlink ref="Q98" r:id="rIdHyperlink97"/>
    <x:hyperlink ref="Q99" r:id="rIdHyperlink98"/>
    <x:hyperlink ref="Q100" r:id="rIdHyperlink99"/>
    <x:hyperlink ref="Q101" r:id="rIdHyperlink100"/>
    <x:hyperlink ref="Q102" r:id="rIdHyperlink101"/>
    <x:hyperlink ref="Q103" r:id="rIdHyperlink102"/>
    <x:hyperlink ref="Q104" r:id="rIdHyperlink103"/>
    <x:hyperlink ref="Q105" r:id="rIdHyperlink104"/>
    <x:hyperlink ref="Q106" r:id="rIdHyperlink105"/>
    <x:hyperlink ref="Q107" r:id="rIdHyperlink106"/>
    <x:hyperlink ref="Q108" r:id="rIdHyperlink107"/>
    <x:hyperlink ref="Q109" r:id="rIdHyperlink108"/>
    <x:hyperlink ref="Q110" r:id="rIdHyperlink109"/>
    <x:hyperlink ref="Q111" r:id="rIdHyperlink110"/>
    <x:hyperlink ref="Q112" r:id="rIdHyperlink111"/>
  </x:hyperlinks>
  <x:pageMargins left="0.7" right="0.7" top="0.75" bottom="0.75" header="0.3" footer="0.3"/>
  <x:tableParts count="1">
    <x:tablePart xmlns:r="http://schemas.openxmlformats.org/officeDocument/2006/relationships" r:id="R449348ff76ce430d"/>
  </x:tableParts>
</x:worksheet>
</file>

<file path=xl/worksheets/sheet5.xml><?xml version="1.0" encoding="utf-8"?>
<x:worksheet xmlns:x="http://schemas.openxmlformats.org/spreadsheetml/2006/main" xmlns:r="http://schemas.openxmlformats.org/officeDocument/2006/relationships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1.110000610351562" hidden="0" customWidth="1"/>
    <x:col min="2" max="2" width="23.329999923706055" hidden="0" customWidth="1"/>
    <x:col min="3" max="3" width="31.110000610351562" hidden="0" customWidth="1"/>
    <x:col min="4" max="4" width="15.5600004196167" hidden="0" customWidth="1"/>
    <x:col min="5" max="5" width="15" hidden="0" customWidth="1"/>
    <x:col min="6" max="6" width="40" hidden="0" customWidth="1"/>
    <x:col min="7" max="7" width="16.110000610351562" hidden="0" customWidth="1"/>
    <x:col min="8" max="8" width="12.220000267028809" hidden="0" customWidth="1"/>
    <x:col min="9" max="9" width="27.780000686645508" hidden="0" customWidth="1"/>
    <x:col min="10" max="10" width="11.670000076293945" hidden="0" customWidth="1"/>
    <x:col min="11" max="11" width="12.220000267028809" hidden="0" customWidth="1"/>
    <x:col min="12" max="12" width="11.670000076293945" hidden="0" customWidth="1"/>
    <x:col min="13" max="13" width="35.560001373291016" hidden="0" customWidth="1"/>
    <x:col min="14" max="14" width="28.889999389648438" hidden="0" customWidth="1"/>
    <x:col min="15" max="15" width="31.110000610351562" hidden="0" customWidth="1"/>
    <x:col min="16" max="16" width="32.220001220703125" hidden="0" customWidth="1"/>
    <x:col min="17" max="17" width="34.439998626708984" hidden="0" customWidth="1"/>
  </x:cols>
  <x:sheetData>
    <x:row r="1" ht="33" customHeight="1">
      <x:c r="A1" s="135" t="str">
        <x:v>Resource</x:v>
      </x:c>
      <x:c r="B1" s="135" t="str">
        <x:v>Resource class</x:v>
      </x:c>
      <x:c r="C1" s="135" t="str">
        <x:v>Scope</x:v>
      </x:c>
      <x:c r="D1" s="135" t="str">
        <x:v>Experimental site evidence</x:v>
      </x:c>
      <x:c r="E1" s="135" t="str">
        <x:v>Status</x:v>
      </x:c>
      <x:c r="F1" s="135" t="str">
        <x:v>Status basis</x:v>
      </x:c>
      <x:c r="G1" s="135" t="str">
        <x:v>Snapshot / update</x:v>
      </x:c>
      <x:c r="H1" s="135" t="str">
        <x:v>Primary count</x:v>
      </x:c>
      <x:c r="I1" s="135" t="str">
        <x:v>Primary count unit</x:v>
      </x:c>
      <x:c r="J1" s="135" t="str">
        <x:v>Proteins</x:v>
      </x:c>
      <x:c r="K1" s="135" t="str">
        <x:v>Species / taxa</x:v>
      </x:c>
      <x:c r="L1" s="135" t="str">
        <x:v>PTM families</x:v>
      </x:c>
      <x:c r="M1" s="135" t="str">
        <x:v>Other exact counts</x:v>
      </x:c>
      <x:c r="N1" s="135" t="str">
        <x:v>Official URL</x:v>
      </x:c>
      <x:c r="O1" s="135" t="str">
        <x:v>Primary source URL</x:v>
      </x:c>
      <x:c r="P1" s="135" t="str">
        <x:v>Coverage decision</x:v>
      </x:c>
      <x:c r="Q1" s="135" t="str">
        <x:v>Notes</x:v>
      </x:c>
    </x:row>
    <x:row r="2" ht="33" customHeight="1">
      <x:c r="A2" s="146" t="str">
        <x:v>EPSD 2.0</x:v>
      </x:c>
      <x:c r="B2" s="146" t="str">
        <x:v>dedicated site database</x:v>
      </x:c>
      <x:c r="C2" s="146" t="str">
        <x:v>Eukaryotic phosphorylation</x:v>
      </x:c>
      <x:c r="D2" s="147" t="str">
        <x:v>yes</x:v>
      </x:c>
      <x:c r="E2" s="147" t="str">
        <x:v>ACTIVE_MAINTAINED</x:v>
      </x:c>
      <x:c r="F2" s="146" t="str">
        <x:v>Official browse page gives a current content update and current counts</x:v>
      </x:c>
      <x:c r="G2" s="147" t="str">
        <x:v>2026-08-01</x:v>
      </x:c>
      <x:c r="H2" s="167" t="n">
        <x:v>2769163</x:v>
      </x:c>
      <x:c r="I2" s="146" t="str">
        <x:v>experimentally identified phosphorylation sites</x:v>
      </x:c>
      <x:c r="J2" s="167" t="n">
        <x:v>362707</x:v>
      </x:c>
      <x:c r="K2" s="167" t="n">
        <x:v>223</x:v>
      </x:c>
      <x:c r="L2" s="167" t="n">
        <x:v>1</x:v>
      </x:c>
      <x:c r="M2" s="146" t="str">
        <x:v>575 high-throughput studies; 88074 downstream functional events for 32762 sites</x:v>
      </x:c>
      <x:c r="N2" s="183" t="str">
        <x:v>https://epsd.biocuckoo.cn/Browse.php</x:v>
      </x:c>
      <x:c r="O2" s="183" t="str">
        <x:v>https://pmc.ncbi.nlm.nih.gov/articles/PMC12448286/</x:v>
      </x:c>
      <x:c r="P2" s="146" t="str">
        <x:v>INCLUDE_CURRENT_DEDICATED_SITE_DB</x:v>
      </x:c>
      <x:c r="Q2" s="146" t="str">
        <x:v>Functional-event coverage is 32762/2769163 = 1.183%; do not count events as sites.</x:v>
      </x:c>
    </x:row>
    <x:row r="3" ht="33" customHeight="1">
      <x:c r="A3" s="158" t="str">
        <x:v>dbPSP 2.0</x:v>
      </x:c>
      <x:c r="B3" s="158" t="str">
        <x:v>dedicated site database</x:v>
      </x:c>
      <x:c r="C3" s="158" t="str">
        <x:v>Prokaryotic phosphorylation including pS pT pY pR pD pH and pC</x:v>
      </x:c>
      <x:c r="D3" s="159" t="str">
        <x:v>yes</x:v>
      </x:c>
      <x:c r="E3" s="159" t="str">
        <x:v>LIVE_AGING</x:v>
      </x:c>
      <x:c r="F3" s="158" t="str">
        <x:v>Portal responds but latest substantive release is the 2020 data publication</x:v>
      </x:c>
      <x:c r="G3" s="159" t="str">
        <x:v>2020-05-19</x:v>
      </x:c>
      <x:c r="H3" s="170" t="n">
        <x:v>19296</x:v>
      </x:c>
      <x:c r="I3" s="158" t="str">
        <x:v>nonredundant phosphorylation sites</x:v>
      </x:c>
      <x:c r="J3" s="170" t="n">
        <x:v>8586</x:v>
      </x:c>
      <x:c r="K3" s="170" t="n">
        <x:v>200</x:v>
      </x:c>
      <x:c r="L3" s="170" t="n">
        <x:v>1</x:v>
      </x:c>
      <x:c r="M3" s="158" t="str">
        <x:v>18576 high-throughput sites; 671 low-throughput sites</x:v>
      </x:c>
      <x:c r="N3" s="184" t="str">
        <x:v>https://dbpsp.biocuckoo.cn/</x:v>
      </x:c>
      <x:c r="O3" s="184" t="str">
        <x:v>https://biocuckoo.cn/pub/dbPSP_2.0.pdf</x:v>
      </x:c>
      <x:c r="P3" s="158" t="str">
        <x:v>INCLUDE_LIVE_AGING_DEDICATED_SITE_DB</x:v>
      </x:c>
      <x:c r="Q3" s="158" t="str">
        <x:v>Keep separate from EPSD because organism scope differs.</x:v>
      </x:c>
    </x:row>
    <x:row r="4" ht="33" customHeight="1">
      <x:c r="A4" s="150" t="str">
        <x:v>CPLM 4.0</x:v>
      </x:c>
      <x:c r="B4" s="150" t="str">
        <x:v>narrow multi-family site database</x:v>
      </x:c>
      <x:c r="C4" s="150" t="str">
        <x:v>Lysine modifications</x:v>
      </x:c>
      <x:c r="D4" s="151" t="str">
        <x:v>yes</x:v>
      </x:c>
      <x:c r="E4" s="151" t="str">
        <x:v>ACTIVE_MAINTAINED</x:v>
      </x:c>
      <x:c r="F4" s="150" t="str">
        <x:v>Official browse page gives explicit update date and live counts</x:v>
      </x:c>
      <x:c r="G4" s="151" t="str">
        <x:v>2025-02-10</x:v>
      </x:c>
      <x:c r="H4" s="168" t="n">
        <x:v>592606</x:v>
      </x:c>
      <x:c r="I4" s="150" t="str">
        <x:v>experimentally identified lysine-modification events</x:v>
      </x:c>
      <x:c r="J4" s="168" t="n">
        <x:v>105673</x:v>
      </x:c>
      <x:c r="K4" s="168" t="n">
        <x:v>219</x:v>
      </x:c>
      <x:c r="L4" s="168" t="n">
        <x:v>29</x:v>
      </x:c>
      <x:c r="M4" s="150" t="str">
        <x:v>463156 unique modified sites; 15 acylations; 4 Ub/Ubl types; 10 other types</x:v>
      </x:c>
      <x:c r="N4" s="185" t="str">
        <x:v>https://cplm.biocuckoo.cn/Browse.php</x:v>
      </x:c>
      <x:c r="O4" s="185" t="str">
        <x:v>https://pmc.ncbi.nlm.nih.gov/articles/PMC8728254/</x:v>
      </x:c>
      <x:c r="P4" s="150" t="str">
        <x:v>INCLUDE_CURRENT_NARROW_MULTI_FAMILY_SITE_DB</x:v>
      </x:c>
      <x:c r="Q4" s="150" t="str">
        <x:v>Events and unique sites are different units; do not add them.</x:v>
      </x:c>
    </x:row>
    <x:row r="5" ht="33" customHeight="1">
      <x:c r="A5" s="158" t="str">
        <x:v>KlaDB</x:v>
      </x:c>
      <x:c r="B5" s="158" t="str">
        <x:v>dedicated site database</x:v>
      </x:c>
      <x:c r="C5" s="158" t="str">
        <x:v>Lysine lactylation</x:v>
      </x:c>
      <x:c r="D5" s="159" t="str">
        <x:v>yes</x:v>
      </x:c>
      <x:c r="E5" s="159" t="str">
        <x:v>ACTIVE_MAINTAINED</x:v>
      </x:c>
      <x:c r="F5" s="158" t="str">
        <x:v>Official site lists a 2026 multispecies update and exact loci</x:v>
      </x:c>
      <x:c r="G5" s="159" t="str">
        <x:v>2026-06-24</x:v>
      </x:c>
      <x:c r="H5" s="170" t="n">
        <x:v>64072</x:v>
      </x:c>
      <x:c r="I5" s="158" t="str">
        <x:v>experimentally validated lactylation sites</x:v>
      </x:c>
      <x:c r="J5" s="170" t="str"/>
      <x:c r="K5" s="170" t="n">
        <x:v>9</x:v>
      </x:c>
      <x:c r="L5" s="170" t="n">
        <x:v>1</x:v>
      </x:c>
      <x:c r="M5" s="158" t="str">
        <x:v>Species loci sum exactly to 64072</x:v>
      </x:c>
      <x:c r="N5" s="184" t="str">
        <x:v>https://kladb.wuxl-group.com/</x:v>
      </x:c>
      <x:c r="O5" s="184" t="str">
        <x:v>https://kladb.wuxl-group.com/</x:v>
      </x:c>
      <x:c r="P5" s="158" t="str">
        <x:v>INCLUDE_CURRENT_DEDICATED_SITE_DB</x:v>
      </x:c>
      <x:c r="Q5" s="158" t="str">
        <x:v>New resource that supersedes any inference from CPLM's much older lactylation subset.</x:v>
      </x:c>
    </x:row>
    <x:row r="6" ht="33" customHeight="1">
      <x:c r="A6" s="150" t="str">
        <x:v>ProMetheusDB</x:v>
      </x:c>
      <x:c r="B6" s="150" t="str">
        <x:v>dedicated site database</x:v>
      </x:c>
      <x:c r="C6" s="150" t="str">
        <x:v>Human lysine and arginine methylation in cancer cell lines</x:v>
      </x:c>
      <x:c r="D6" s="151" t="str">
        <x:v>yes</x:v>
      </x:c>
      <x:c r="E6" s="151" t="str">
        <x:v>LIVE_AGING</x:v>
      </x:c>
      <x:c r="F6" s="150" t="str">
        <x:v>Shiny portal resolves; documented content snapshot is 2022</x:v>
      </x:c>
      <x:c r="G6" s="151" t="str">
        <x:v>2022-06-15</x:v>
      </x:c>
      <x:c r="H6" s="168" t="n">
        <x:v>1599</x:v>
      </x:c>
      <x:c r="I6" s="150" t="str">
        <x:v>methylation sites</x:v>
      </x:c>
      <x:c r="J6" s="168" t="n">
        <x:v>672</x:v>
      </x:c>
      <x:c r="K6" s="168" t="n">
        <x:v>1</x:v>
      </x:c>
      <x:c r="L6" s="168" t="n">
        <x:v>1</x:v>
      </x:c>
      <x:c r="M6" s="150" t="str">
        <x:v>2246 methyl-peptides; 1933 methylation events</x:v>
      </x:c>
      <x:c r="N6" s="185" t="str">
        <x:v>https://shiny.bioserver.ieo.it/app/prometheusdb</x:v>
      </x:c>
      <x:c r="O6" s="185" t="str">
        <x:v>https://pmc.ncbi.nlm.nih.gov/articles/PMC9207298/</x:v>
      </x:c>
      <x:c r="P6" s="150" t="str">
        <x:v>INCLUDE_LIVE_AGING_DEDICATED_SITE_DB</x:v>
      </x:c>
      <x:c r="Q6" s="150" t="str">
        <x:v>Human cancer-cell-line scope; not a pan-species methylation database.</x:v>
      </x:c>
    </x:row>
    <x:row r="7" ht="33" customHeight="1">
      <x:c r="A7" s="158" t="str">
        <x:v>PTMeXchange Human Methylation build</x:v>
      </x:c>
      <x:c r="B7" s="158" t="str">
        <x:v>dedicated site atlas build</x:v>
      </x:c>
      <x:c r="C7" s="158" t="str">
        <x:v>Human protein methylation reanalysis</x:v>
      </x:c>
      <x:c r="D7" s="159" t="str">
        <x:v>yes</x:v>
      </x:c>
      <x:c r="E7" s="159" t="str">
        <x:v>ACTIVE_ATLAS</x:v>
      </x:c>
      <x:c r="F7" s="158" t="str">
        <x:v>New high-confidence PTMeXchange build with 2026 preprint</x:v>
      </x:c>
      <x:c r="G7" s="159" t="str">
        <x:v>2026-07-01</x:v>
      </x:c>
      <x:c r="H7" s="170" t="n">
        <x:v>1828</x:v>
      </x:c>
      <x:c r="I7" s="158" t="str">
        <x:v>high-confidence methylation sites</x:v>
      </x:c>
      <x:c r="J7" s="170" t="n">
        <x:v>1021</x:v>
      </x:c>
      <x:c r="K7" s="170" t="n">
        <x:v>1</x:v>
      </x:c>
      <x:c r="L7" s="170" t="n">
        <x:v>1</x:v>
      </x:c>
      <x:c r="M7" s="158" t="str">
        <x:v>57 methyl-Lys sites; 1771 methyl-Arg sites; Gold Silver and Bronze confidence tiers</x:v>
      </x:c>
      <x:c r="N7" s="184" t="str">
        <x:v>https://www.proteomexchange.org/ptmexchange/index.html</x:v>
      </x:c>
      <x:c r="O7" s="184" t="str">
        <x:v>https://www.biorxiv.org/content/10.64898/2026.07.01.733993v1</x:v>
      </x:c>
      <x:c r="P7" s="158" t="str">
        <x:v>INCLUDE_CURRENT_SITE_ATLAS_NOT_INDEPENDENT_DB</x:v>
      </x:c>
      <x:c r="Q7" s="158" t="str">
        <x:v>Do not add to ProMetheusDB because overlap is unresolved.</x:v>
      </x:c>
    </x:row>
    <x:row r="8" ht="33" customHeight="1">
      <x:c r="A8" s="150" t="str">
        <x:v>ADPriboDB 2.0</x:v>
      </x:c>
      <x:c r="B8" s="150" t="str">
        <x:v>dedicated site database</x:v>
      </x:c>
      <x:c r="C8" s="150" t="str">
        <x:v>Mono- and poly-ADP-ribosylation</x:v>
      </x:c>
      <x:c r="D8" s="151" t="str">
        <x:v>yes</x:v>
      </x:c>
      <x:c r="E8" s="151" t="str">
        <x:v>LIVE_AGING</x:v>
      </x:c>
      <x:c r="F8" s="150" t="str">
        <x:v>Official search endpoint responds to browsers but latest substantive release is 2021</x:v>
      </x:c>
      <x:c r="G8" s="151" t="str">
        <x:v>2021-01-08</x:v>
      </x:c>
      <x:c r="H8" s="168" t="n">
        <x:v>14839</x:v>
      </x:c>
      <x:c r="I8" s="150" t="str">
        <x:v>unique ADP-ribosylation sites</x:v>
      </x:c>
      <x:c r="J8" s="168" t="n">
        <x:v>9097</x:v>
      </x:c>
      <x:c r="K8" s="168" t="str"/>
      <x:c r="L8" s="168" t="n">
        <x:v>1</x:v>
      </x:c>
      <x:c r="M8" s="150" t="str">
        <x:v>48346 database entries; site information in 32946 entries; about 1018 sites reported by at least two publications</x:v>
      </x:c>
      <x:c r="N8" s="185" t="str">
        <x:v>https://adpribodb.adpribodb.org/iframe-search.html</x:v>
      </x:c>
      <x:c r="O8" s="185" t="str">
        <x:v>https://pmc.ncbi.nlm.nih.gov/articles/PMC7523110/</x:v>
      </x:c>
      <x:c r="P8" s="150" t="str">
        <x:v>INCLUDE_LIVE_AGING_DEDICATED_SITE_DB</x:v>
      </x:c>
      <x:c r="Q8" s="150" t="str">
        <x:v>Site-level records do not reliably separate MAR from PAR in every entry.</x:v>
      </x:c>
    </x:row>
    <x:row r="9" ht="33" customHeight="1">
      <x:c r="A9" s="158" t="str">
        <x:v>DOSS</x:v>
      </x:c>
      <x:c r="B9" s="158" t="str">
        <x:v>dedicated site database</x:v>
      </x:c>
      <x:c r="C9" s="158" t="str">
        <x:v>Tyrosine sulfation</x:v>
      </x:c>
      <x:c r="D9" s="159" t="str">
        <x:v>yes</x:v>
      </x:c>
      <x:c r="E9" s="159" t="str">
        <x:v>UNAVAILABLE</x:v>
      </x:c>
      <x:c r="F9" s="158" t="str">
        <x:v>Published endpoint currently returns 404</x:v>
      </x:c>
      <x:c r="G9" s="159" t="str">
        <x:v>2014-12-01</x:v>
      </x:c>
      <x:c r="H9" s="170" t="n">
        <x:v>273</x:v>
      </x:c>
      <x:c r="I9" s="158" t="str">
        <x:v>experimentally identified tyrosine-sulfation sites</x:v>
      </x:c>
      <x:c r="J9" s="170" t="n">
        <x:v>171</x:v>
      </x:c>
      <x:c r="K9" s="170" t="str"/>
      <x:c r="L9" s="170" t="n">
        <x:v>1</x:v>
      </x:c>
      <x:c r="M9" s="158" t="str">
        <x:v>Historical publication snapshot</x:v>
      </x:c>
      <x:c r="N9" s="184" t="str">
        <x:v>http://tsp.biocuckoo.org/database.php</x:v>
      </x:c>
      <x:c r="O9" s="184" t="str">
        <x:v>https://pmc.ncbi.nlm.nih.gov/articles/PMC4256647/</x:v>
      </x:c>
      <x:c r="P9" s="158" t="str">
        <x:v>HISTORICAL_ONLY_NO_CURRENT_DEDICATED_DB</x:v>
      </x:c>
      <x:c r="Q9" s="158" t="str">
        <x:v>Prediction servers do not replace a current experimental site database.</x:v>
      </x:c>
    </x:row>
    <x:row r="10" ht="33" customHeight="1">
      <x:c r="A10" s="150" t="str">
        <x:v>HypDB</x:v>
      </x:c>
      <x:c r="B10" s="150" t="str">
        <x:v>dedicated site database</x:v>
      </x:c>
      <x:c r="C10" s="150" t="str">
        <x:v>Human proline hydroxylation</x:v>
      </x:c>
      <x:c r="D10" s="151" t="str">
        <x:v>yes</x:v>
      </x:c>
      <x:c r="E10" s="151" t="str">
        <x:v>LIVE_AGING</x:v>
      </x:c>
      <x:c r="F10" s="150" t="str">
        <x:v>Website is present but automated access is blocked; documented content snapshot is 2022</x:v>
      </x:c>
      <x:c r="G10" s="151" t="str">
        <x:v>2022-09-09</x:v>
      </x:c>
      <x:c r="H10" s="168" t="n">
        <x:v>14413</x:v>
      </x:c>
      <x:c r="I10" s="150" t="str">
        <x:v>nonredundant hydroxyproline sites</x:v>
      </x:c>
      <x:c r="J10" s="168" t="n">
        <x:v>5165</x:v>
      </x:c>
      <x:c r="K10" s="168" t="n">
        <x:v>1</x:v>
      </x:c>
      <x:c r="L10" s="168" t="n">
        <x:v>1</x:v>
      </x:c>
      <x:c r="M10" s="150" t="str">
        <x:v>59436 site records; 3382 Class I; 4335 Class II; 6432 Class III; 55 literature sites; 209 UniProt sites</x:v>
      </x:c>
      <x:c r="N10" s="185" t="str">
        <x:v>https://www.HypDB.site/</x:v>
      </x:c>
      <x:c r="O10" s="185" t="str">
        <x:v>https://pmc.ncbi.nlm.nih.gov/articles/PMC9455854/</x:v>
      </x:c>
      <x:c r="P10" s="150" t="str">
        <x:v>INCLUDE_LIVE_AGING_DEDICATED_SITE_DB</x:v>
      </x:c>
      <x:c r="Q10" s="150" t="str">
        <x:v>Class III has higher oxidation-artifact risk; preserve confidence classes.</x:v>
      </x:c>
    </x:row>
    <x:row r="11" ht="33" customHeight="1">
      <x:c r="A11" s="158" t="str">
        <x:v>HL60 citrullination atlas</x:v>
      </x:c>
      <x:c r="B11" s="158" t="str">
        <x:v>dedicated experimental atlas</x:v>
      </x:c>
      <x:c r="C11" s="158" t="str">
        <x:v>Protein citrullination in neutrophil-like HL60 cells</x:v>
      </x:c>
      <x:c r="D11" s="159" t="str">
        <x:v>yes</x:v>
      </x:c>
      <x:c r="E11" s="159" t="str">
        <x:v>ACTIVE_ATLAS</x:v>
      </x:c>
      <x:c r="F11" s="158" t="str">
        <x:v>Peer-reviewed quantitative atlas published in 2024; not a maintained database UI</x:v>
      </x:c>
      <x:c r="G11" s="159" t="str">
        <x:v>2024-03-28</x:v>
      </x:c>
      <x:c r="H11" s="170" t="n">
        <x:v>14056</x:v>
      </x:c>
      <x:c r="I11" s="158" t="str">
        <x:v>citrullination sites</x:v>
      </x:c>
      <x:c r="J11" s="170" t="n">
        <x:v>4008</x:v>
      </x:c>
      <x:c r="K11" s="170" t="n">
        <x:v>1</x:v>
      </x:c>
      <x:c r="L11" s="170" t="n">
        <x:v>1</x:v>
      </x:c>
      <x:c r="M11" s="158" t="str">
        <x:v>Single biological model scope</x:v>
      </x:c>
      <x:c r="N11" s="160" t="str"/>
      <x:c r="O11" s="184" t="str">
        <x:v>https://www.nature.com/articles/s41594-024-01214-9</x:v>
      </x:c>
      <x:c r="P11" s="158" t="str">
        <x:v>INCLUDE_SITE_ATLAS_NOT_DATABASE</x:v>
      </x:c>
      <x:c r="Q11" s="158" t="str">
        <x:v>No persistent dedicated citrullination database was found.</x:v>
      </x:c>
    </x:row>
    <x:row r="12" ht="33" customHeight="1">
      <x:c r="A12" s="150" t="str">
        <x:v>dbSNO 3.0</x:v>
      </x:c>
      <x:c r="B12" s="150" t="str">
        <x:v>narrow multi-family site database</x:v>
      </x:c>
      <x:c r="C12" s="150" t="str">
        <x:v>Cysteine S-nitrosylation and six additional cysteine PTMs</x:v>
      </x:c>
      <x:c r="D12" s="151" t="str">
        <x:v>yes</x:v>
      </x:c>
      <x:c r="E12" s="151" t="str">
        <x:v>ACTIVE_MAINTAINED</x:v>
      </x:c>
      <x:c r="F12" s="150" t="str">
        <x:v>Official site says regularly updated and is based on Swiss-Prot 2025-06</x:v>
      </x:c>
      <x:c r="G12" s="151" t="str">
        <x:v>2025-06</x:v>
      </x:c>
      <x:c r="H12" s="168" t="n">
        <x:v>61122</x:v>
      </x:c>
      <x:c r="I12" s="150" t="str">
        <x:v>total cysteine PTM instances</x:v>
      </x:c>
      <x:c r="J12" s="168" t="n">
        <x:v>20512</x:v>
      </x:c>
      <x:c r="K12" s="168" t="n">
        <x:v>922</x:v>
      </x:c>
      <x:c r="L12" s="168" t="n">
        <x:v>7</x:v>
      </x:c>
      <x:c r="M12" s="150" t="str">
        <x:v>SNO 23417; S-palmitoylation 10239; S-glutathionylation 9148; S-sulfenylation 4964; S-sulfhydration 2710; disulfide 9916; S-sulfinylation 728</x:v>
      </x:c>
      <x:c r="N12" s="185" t="str">
        <x:v>https://biomics.lab.nycu.edu.tw/dbSNO/introduction.php</x:v>
      </x:c>
      <x:c r="O12" s="185" t="str">
        <x:v>https://biomics.lab.nycu.edu.tw/dbSNO/statistics.php</x:v>
      </x:c>
      <x:c r="P12" s="150" t="str">
        <x:v>INCLUDE_CURRENT_NARROW_MULTI_FAMILY_SITE_DB</x:v>
      </x:c>
      <x:c r="Q12" s="150" t="str">
        <x:v>Family counts are sites/instances; protein counts are separately reported on the official page.</x:v>
      </x:c>
    </x:row>
    <x:row r="13" ht="33" customHeight="1">
      <x:c r="A13" s="158" t="str">
        <x:v>MetOSite</x:v>
      </x:c>
      <x:c r="B13" s="158" t="str">
        <x:v>dedicated site database</x:v>
      </x:c>
      <x:c r="C13" s="158" t="str">
        <x:v>Methionine sulfoxidation</x:v>
      </x:c>
      <x:c r="D13" s="159" t="str">
        <x:v>yes</x:v>
      </x:c>
      <x:c r="E13" s="159" t="str">
        <x:v>ACTIVE_MAINTAINED</x:v>
      </x:c>
      <x:c r="F13" s="158" t="str">
        <x:v>Live official API exposes exact current counts and update date</x:v>
      </x:c>
      <x:c r="G13" s="159" t="str">
        <x:v>2025-06-30</x:v>
      </x:c>
      <x:c r="H13" s="170" t="n">
        <x:v>8406</x:v>
      </x:c>
      <x:c r="I13" s="158" t="str">
        <x:v>experimentally confirmed methionine sulfoxide sites</x:v>
      </x:c>
      <x:c r="J13" s="170" t="n">
        <x:v>4232</x:v>
      </x:c>
      <x:c r="K13" s="170" t="n">
        <x:v>34</x:v>
      </x:c>
      <x:c r="L13" s="170" t="n">
        <x:v>1</x:v>
      </x:c>
      <x:c r="M13" s="158" t="str">
        <x:v>Official API response</x:v>
      </x:c>
      <x:c r="N13" s="184" t="str">
        <x:v>https://metosite.uma.es/</x:v>
      </x:c>
      <x:c r="O13" s="184" t="str">
        <x:v>https://metosite.uma.es/api/summaries/count</x:v>
      </x:c>
      <x:c r="P13" s="158" t="str">
        <x:v>INCLUDE_CURRENT_DEDICATED_SITE_DB</x:v>
      </x:c>
      <x:c r="Q13" s="158" t="str">
        <x:v>Current machine-readable count.</x:v>
      </x:c>
    </x:row>
    <x:row r="14" ht="33" customHeight="1">
      <x:c r="A14" s="150" t="str">
        <x:v>CarbonylDB</x:v>
      </x:c>
      <x:c r="B14" s="150" t="str">
        <x:v>dedicated site database</x:v>
      </x:c>
      <x:c r="C14" s="150" t="str">
        <x:v>Protein carbonylation</x:v>
      </x:c>
      <x:c r="D14" s="151" t="str">
        <x:v>yes</x:v>
      </x:c>
      <x:c r="E14" s="151" t="str">
        <x:v>LIVE_AGING</x:v>
      </x:c>
      <x:c r="F14" s="150" t="str">
        <x:v>Search portal responds; latest substantive data publication is 2018</x:v>
      </x:c>
      <x:c r="G14" s="151" t="str">
        <x:v>2018-06-26</x:v>
      </x:c>
      <x:c r="H14" s="168" t="n">
        <x:v>3781</x:v>
      </x:c>
      <x:c r="I14" s="150" t="str">
        <x:v>experimentally confirmed carbonylation sites</x:v>
      </x:c>
      <x:c r="J14" s="168" t="n">
        <x:v>1495</x:v>
      </x:c>
      <x:c r="K14" s="168" t="n">
        <x:v>21</x:v>
      </x:c>
      <x:c r="L14" s="168" t="n">
        <x:v>1</x:v>
      </x:c>
      <x:c r="M14" s="150" t="str"/>
      <x:c r="N14" s="185" t="str">
        <x:v>https://carbonyldb.missouri.edu/CarbonylDB/index.php/search</x:v>
      </x:c>
      <x:c r="O14" s="185" t="str">
        <x:v>https://pmc.ncbi.nlm.nih.gov/articles/PMC6041944/</x:v>
      </x:c>
      <x:c r="P14" s="150" t="str">
        <x:v>INCLUDE_LIVE_AGING_DEDICATED_SITE_DB</x:v>
      </x:c>
      <x:c r="Q14" s="150" t="str">
        <x:v>Do not conflate protein carbonylation with all oxidative PTMs.</x:v>
      </x:c>
    </x:row>
    <x:row r="15" ht="33" customHeight="1">
      <x:c r="A15" s="158" t="str">
        <x:v>iCysMod</x:v>
      </x:c>
      <x:c r="B15" s="158" t="str">
        <x:v>narrow multi-family site database</x:v>
      </x:c>
      <x:c r="C15" s="158" t="str">
        <x:v>Eight cysteine modification types</x:v>
      </x:c>
      <x:c r="D15" s="159" t="str">
        <x:v>yes</x:v>
      </x:c>
      <x:c r="E15" s="159" t="str">
        <x:v>LIVE_AGING</x:v>
      </x:c>
      <x:c r="F15" s="158" t="str">
        <x:v>HTTP portal responds but HTTPS certificate/host configuration is problematic; content publication is 2021</x:v>
      </x:c>
      <x:c r="G15" s="159" t="str">
        <x:v>2021-01-11</x:v>
      </x:c>
      <x:c r="H15" s="170" t="n">
        <x:v>85747</x:v>
      </x:c>
      <x:c r="I15" s="158" t="str">
        <x:v>experimentally identified unique cysteine-modification sites</x:v>
      </x:c>
      <x:c r="J15" s="170" t="n">
        <x:v>31483</x:v>
      </x:c>
      <x:c r="K15" s="170" t="n">
        <x:v>48</x:v>
      </x:c>
      <x:c r="L15" s="170" t="n">
        <x:v>8</x:v>
      </x:c>
      <x:c r="M15" s="158" t="str">
        <x:v>108030 modification events</x:v>
      </x:c>
      <x:c r="N15" s="184" t="str">
        <x:v>http://icysmod.omicsbio.info/</x:v>
      </x:c>
      <x:c r="O15" s="184" t="str">
        <x:v>https://academic.oup.com/bib/article/22/5/bbaa400/6066620</x:v>
      </x:c>
      <x:c r="P15" s="158" t="str">
        <x:v>INCLUDE_LIVE_AGING_NARROW_MULTI_FAMILY_SITE_DB</x:v>
      </x:c>
      <x:c r="Q15" s="158" t="str">
        <x:v>Use dbSNO 3.0 as the more current source for its seven overlapping classes.</x:v>
      </x:c>
    </x:row>
    <x:row r="16" ht="33" customHeight="1">
      <x:c r="A16" s="150" t="str">
        <x:v>CysModDB</x:v>
      </x:c>
      <x:c r="B16" s="150" t="str">
        <x:v>narrow multi-family site database</x:v>
      </x:c>
      <x:c r="C16" s="150" t="str">
        <x:v>Twelve cysteine PTM classes</x:v>
      </x:c>
      <x:c r="D16" s="151" t="str">
        <x:v>yes</x:v>
      </x:c>
      <x:c r="E16" s="151" t="str">
        <x:v>UNAVAILABLE</x:v>
      </x:c>
      <x:c r="F16" s="150" t="str">
        <x:v>Official hostname currently fails DNS resolution</x:v>
      </x:c>
      <x:c r="G16" s="151" t="str">
        <x:v>2022-11-22</x:v>
      </x:c>
      <x:c r="H16" s="168" t="n">
        <x:v>70536</x:v>
      </x:c>
      <x:c r="I16" s="150" t="str">
        <x:v>experimentally verified cysteine-modification sites</x:v>
      </x:c>
      <x:c r="J16" s="168" t="n">
        <x:v>21654</x:v>
      </x:c>
      <x:c r="K16" s="168" t="n">
        <x:v>12</x:v>
      </x:c>
      <x:c r="L16" s="168" t="n">
        <x:v>12</x:v>
      </x:c>
      <x:c r="M16" s="150" t="str">
        <x:v>Oxidative lipid and metabolite-derived cysteine modifications</x:v>
      </x:c>
      <x:c r="N16" s="185" t="str">
        <x:v>http://cysmoddb.bioinfogo.org/</x:v>
      </x:c>
      <x:c r="O16" s="185" t="str">
        <x:v>https://pmc.ncbi.nlm.nih.gov/articles/PMC9677505/</x:v>
      </x:c>
      <x:c r="P16" s="150" t="str">
        <x:v>HISTORICAL_ONLY_NO_CURRENT_DB</x:v>
      </x:c>
      <x:c r="Q16" s="150" t="str">
        <x:v>Paper and supplements remain available; endpoint is unavailable.</x:v>
      </x:c>
    </x:row>
    <x:row r="17" ht="33" customHeight="1">
      <x:c r="A17" s="158" t="str">
        <x:v>CysDBase</x:v>
      </x:c>
      <x:c r="B17" s="158" t="str">
        <x:v>mixed evidence cysteine database</x:v>
      </x:c>
      <x:c r="C17" s="158" t="str">
        <x:v>Cysteine annotations including PTMs disulfides and metal binding</x:v>
      </x:c>
      <x:c r="D17" s="159" t="str">
        <x:v>mixed</x:v>
      </x:c>
      <x:c r="E17" s="159" t="str">
        <x:v>UNAVAILABLE</x:v>
      </x:c>
      <x:c r="F17" s="158" t="str">
        <x:v>New 2026 paper, but the official hostname failed DNS resolution during the 2026-08-14 endpoint audit; most UniProt Cys-PTMs are also inferred from homologues</x:v>
      </x:c>
      <x:c r="G17" s="159" t="str">
        <x:v>2026 paper; endpoint checked 2026-08-14</x:v>
      </x:c>
      <x:c r="H17" s="170" t="n">
        <x:v>11456639</x:v>
      </x:c>
      <x:c r="I17" s="158" t="str">
        <x:v>unique cysteine residue entries with mixed evidence</x:v>
      </x:c>
      <x:c r="J17" s="170" t="str"/>
      <x:c r="K17" s="170" t="str"/>
      <x:c r="L17" s="170" t="n">
        <x:v>7</x:v>
      </x:c>
      <x:c r="M17" s="158" t="str">
        <x:v>3306395 UniProt IDs; category-row counts sum above unique total because residues can have multiple annotations</x:v>
      </x:c>
      <x:c r="N17" s="184" t="str">
        <x:v>https://cysdbase.bits-hyderabad.ac.in/</x:v>
      </x:c>
      <x:c r="O17" s="184" t="str">
        <x:v>https://pmc.ncbi.nlm.nih.gov/articles/PMC13161762/</x:v>
      </x:c>
      <x:c r="P17" s="158" t="str">
        <x:v>EXCLUDE_UNAVAILABLE_MIXED_INFERENCE_RESOURCE_FROM_STRICT_SITE_ROSTER</x:v>
      </x:c>
      <x:c r="Q17" s="158" t="str">
        <x:v>Official endpoint currently unavailable. Metal binding is not a PTM, and inferred homolog annotations cannot be counted as experimentally observed sites.</x:v>
      </x:c>
    </x:row>
    <x:row r="18" ht="33" customHeight="1">
      <x:c r="A18" s="150" t="str">
        <x:v>CysDB</x:v>
      </x:c>
      <x:c r="B18" s="150" t="str">
        <x:v>experimental chemoproteomics resource</x:v>
      </x:c>
      <x:c r="C18" s="150" t="str">
        <x:v>Human cysteine reactivity and ligandability</x:v>
      </x:c>
      <x:c r="D18" s="151" t="str">
        <x:v>yes but not native PTM identity</x:v>
      </x:c>
      <x:c r="E18" s="151" t="str">
        <x:v>ACTIVE_ATLAS</x:v>
      </x:c>
      <x:c r="F18" s="150" t="str">
        <x:v>Published experimental resource; measures reactivity rather than native PTM chemistry</x:v>
      </x:c>
      <x:c r="G18" s="151" t="str">
        <x:v>2023-09-12</x:v>
      </x:c>
      <x:c r="H18" s="168" t="n">
        <x:v>62888</x:v>
      </x:c>
      <x:c r="I18" s="150" t="str">
        <x:v>quantified cysteine residues</x:v>
      </x:c>
      <x:c r="J18" s="168" t="n">
        <x:v>11621</x:v>
      </x:c>
      <x:c r="K18" s="168" t="n">
        <x:v>1</x:v>
      </x:c>
      <x:c r="L18" s="168" t="n">
        <x:v>0</x:v>
      </x:c>
      <x:c r="M18" s="150" t="str"/>
      <x:c r="N18" s="152" t="str"/>
      <x:c r="O18" s="185" t="str">
        <x:v>https://pmc.ncbi.nlm.nih.gov/articles/PMC10510411/</x:v>
      </x:c>
      <x:c r="P18" s="150" t="str">
        <x:v>EXCLUDE_FROM_PTM_FAMILY_COVERAGE</x:v>
      </x:c>
      <x:c r="Q18" s="150" t="str">
        <x:v>Complementary for modeling but not a PTM-site inventory.</x:v>
      </x:c>
    </x:row>
    <x:row r="19" ht="33" customHeight="1">
      <x:c r="A19" s="158" t="str">
        <x:v>GlyGen</x:v>
      </x:c>
      <x:c r="B19" s="158" t="str">
        <x:v>glycosylation-centric integrative knowledgebase</x:v>
      </x:c>
      <x:c r="C19" s="158" t="str">
        <x:v>Protein glycosylation and glycans</x:v>
      </x:c>
      <x:c r="D19" s="159" t="str">
        <x:v>mixed with explicit evidence labels</x:v>
      </x:c>
      <x:c r="E19" s="159" t="str">
        <x:v>ACTIVE_MAINTAINED</x:v>
      </x:c>
      <x:c r="F19" s="158" t="str">
        <x:v>Current release and 2026 primary update distinguish reported literature-mined and predicted sites</x:v>
      </x:c>
      <x:c r="G19" s="159" t="str">
        <x:v>2.10.1 / 2026</x:v>
      </x:c>
      <x:c r="H19" s="170" t="n">
        <x:v>183573</x:v>
      </x:c>
      <x:c r="I19" s="158" t="str">
        <x:v>glycosylation site records in the overall model with mixed evidence</x:v>
      </x:c>
      <x:c r="J19" s="170" t="n">
        <x:v>243702</x:v>
      </x:c>
      <x:c r="K19" s="170" t="str">
        <x:v>multiple</x:v>
      </x:c>
      <x:c r="L19" s="170" t="str">
        <x:v>8 site subtypes in reported table</x:v>
      </x:c>
      <x:c r="M19" s="158" t="str">
        <x:v>Reported sites: N-linked 20227; O-GlcNAc 41866; O-GalNAc 741; O-mannose 35; O-fucose 77; O-glucose 234; O-galactose 47; C-mannose 70</x:v>
      </x:c>
      <x:c r="N19" s="184" t="str">
        <x:v>https://www.glygen.org/</x:v>
      </x:c>
      <x:c r="O19" s="184" t="str">
        <x:v>https://pmc.ncbi.nlm.nih.gov/articles/PMC13345530/</x:v>
      </x:c>
      <x:c r="P19" s="158" t="str">
        <x:v>INCLUDE_WITH_REPORTED_EVIDENCE_FILTER</x:v>
      </x:c>
      <x:c r="Q19" s="158" t="str">
        <x:v>Use reported-site subtype counts for experimental coverage; do not add predicted or literature-mined columns.</x:v>
      </x:c>
    </x:row>
    <x:row r="20" ht="33" customHeight="1">
      <x:c r="A20" s="150" t="str">
        <x:v>O-GlcNAcAtlas 5.0</x:v>
      </x:c>
      <x:c r="B20" s="150" t="str">
        <x:v>dedicated site database</x:v>
      </x:c>
      <x:c r="C20" s="150" t="str">
        <x:v>Protein O-GlcNAcylation</x:v>
      </x:c>
      <x:c r="D20" s="151" t="str">
        <x:v>yes</x:v>
      </x:c>
      <x:c r="E20" s="151" t="str">
        <x:v>ACTIVE_MAINTAINED</x:v>
      </x:c>
      <x:c r="F20" s="150" t="str">
        <x:v>Official tracked release JSON gives exact release date files and unique-count rules</x:v>
      </x:c>
      <x:c r="G20" s="151" t="str">
        <x:v>2025-12-08</x:v>
      </x:c>
      <x:c r="H20" s="168" t="n">
        <x:v>33047</x:v>
      </x:c>
      <x:c r="I20" s="150" t="str">
        <x:v>distinct complete accession-position-residue sites</x:v>
      </x:c>
      <x:c r="J20" s="168" t="n">
        <x:v>8880</x:v>
      </x:c>
      <x:c r="K20" s="168" t="str">
        <x:v>multiple</x:v>
      </x:c>
      <x:c r="L20" s="168" t="n">
        <x:v>1</x:v>
      </x:c>
      <x:c r="M20" s="150" t="str">
        <x:v>61035 curated records; 46517 unambiguous records; 14518 ambiguous records</x:v>
      </x:c>
      <x:c r="N20" s="185" t="str">
        <x:v>https://oglcnac.org/atlas/</x:v>
      </x:c>
      <x:c r="O20" s="185" t="str">
        <x:v>https://oglcnac.org/static/data/atlas-release-v1.json</x:v>
      </x:c>
      <x:c r="P20" s="150" t="str">
        <x:v>INCLUDE_CURRENT_DEDICATED_SITE_DB</x:v>
      </x:c>
      <x:c r="Q20" s="150" t="str">
        <x:v>Unique-site rule is explicit; do not add records and unique sites.</x:v>
      </x:c>
    </x:row>
    <x:row r="21" ht="33" customHeight="1">
      <x:c r="A21" s="158" t="str">
        <x:v>The O-GlcNAc Database v3.0</x:v>
      </x:c>
      <x:c r="B21" s="158" t="str">
        <x:v>dedicated site database</x:v>
      </x:c>
      <x:c r="C21" s="158" t="str">
        <x:v>Protein O-GlcNAcylation plus OGT/OGA variants and clinical context</x:v>
      </x:c>
      <x:c r="D21" s="159" t="str">
        <x:v>yes</x:v>
      </x:c>
      <x:c r="E21" s="159" t="str">
        <x:v>ACTIVE_MAINTAINED</x:v>
      </x:c>
      <x:c r="F21" s="158" t="str">
        <x:v>Official portal gives a 2026 update date; latest published quantified snapshot is July 2024</x:v>
      </x:c>
      <x:c r="G21" s="159" t="str">
        <x:v>2026-05-11 portal; 2024-07 count snapshot</x:v>
      </x:c>
      <x:c r="H21" s="170" t="n">
        <x:v>17900</x:v>
      </x:c>
      <x:c r="I21" s="158" t="str">
        <x:v>O-GlcNAc sites in the latest quantified paper snapshot</x:v>
      </x:c>
      <x:c r="J21" s="170" t="n">
        <x:v>19000</x:v>
      </x:c>
      <x:c r="K21" s="170" t="n">
        <x:v>48</x:v>
      </x:c>
      <x:c r="L21" s="170" t="n">
        <x:v>1</x:v>
      </x:c>
      <x:c r="M21" s="158" t="str">
        <x:v>More than 19000 O-GlcNAcylated proteins</x:v>
      </x:c>
      <x:c r="N21" s="184" t="str">
        <x:v>https://www.oglcnac.mcw.edu/</x:v>
      </x:c>
      <x:c r="O21" s="184" t="str">
        <x:v>https://pmc.ncbi.nlm.nih.gov/articles/PMC12105936/</x:v>
      </x:c>
      <x:c r="P21" s="158" t="str">
        <x:v>INCLUDE_CURRENT_DEDICATED_SITE_DB</x:v>
      </x:c>
      <x:c r="Q21" s="158" t="str">
        <x:v>Current portal may contain more records than the 2024 quantified paper; do not add to O-GlcNAcAtlas.</x:v>
      </x:c>
    </x:row>
    <x:row r="22" ht="33" customHeight="1">
      <x:c r="A22" s="150" t="str">
        <x:v>GlyConnect</x:v>
      </x:c>
      <x:c r="B22" s="150" t="str">
        <x:v>dedicated glycoproteomics knowledgebase</x:v>
      </x:c>
      <x:c r="C22" s="150" t="str">
        <x:v>Glycoproteins glycosites and attached glycans</x:v>
      </x:c>
      <x:c r="D22" s="151" t="str">
        <x:v>yes</x:v>
      </x:c>
      <x:c r="E22" s="151" t="str">
        <x:v>ACTIVE_MAINTAINED</x:v>
      </x:c>
      <x:c r="F22" s="150" t="str">
        <x:v>Official homepage reports v2.5.0; latest fixed browser counts still exposed are from 2023</x:v>
      </x:c>
      <x:c r="G22" s="151" t="str">
        <x:v>2025-11-21 release; 2023-02-24 count snapshot</x:v>
      </x:c>
      <x:c r="H22" s="168" t="n">
        <x:v>5765</x:v>
      </x:c>
      <x:c r="I22" s="150" t="str">
        <x:v>glycosylation sites in the fixed 2023 browser snapshot</x:v>
      </x:c>
      <x:c r="J22" s="168" t="n">
        <x:v>2713</x:v>
      </x:c>
      <x:c r="K22" s="168" t="n">
        <x:v>251</x:v>
      </x:c>
      <x:c r="L22" s="168" t="str">
        <x:v>multiple glycan classes</x:v>
      </x:c>
      <x:c r="M22" s="150" t="str">
        <x:v>5609 glycans; 1211 compositions; 982 references; 5601 peptides</x:v>
      </x:c>
      <x:c r="N22" s="185" t="str">
        <x:v>https://glyconnect.expasy.org/</x:v>
      </x:c>
      <x:c r="O22" s="185" t="str">
        <x:v>https://glyconnect.expasy.org/browser/</x:v>
      </x:c>
      <x:c r="P22" s="150" t="str">
        <x:v>INCLUDE_CURRENT_GLYCO_SITE_RESOURCE</x:v>
      </x:c>
      <x:c r="Q22" s="150" t="str">
        <x:v>Do not present 2023 fixed counts as a 2025 count; current release is newer than the surfaced statistics.</x:v>
      </x:c>
    </x:row>
    <x:row r="23" ht="33" customHeight="1">
      <x:c r="A23" s="158" t="str">
        <x:v>ProGlycProt v3</x:v>
      </x:c>
      <x:c r="B23" s="158" t="str">
        <x:v>dedicated experimental glycoprotein/glycoenzyme resource</x:v>
      </x:c>
      <x:c r="C23" s="158" t="str">
        <x:v>Experimentally validated prokaryotic glycoproteins and glycosylation enzymes</x:v>
      </x:c>
      <x:c r="D23" s="159" t="str">
        <x:v>yes for the site-mapped ProCGP subset</x:v>
      </x:c>
      <x:c r="E23" s="159" t="str">
        <x:v>LIVE_AGING</x:v>
      </x:c>
      <x:c r="F23" s="158" t="str">
        <x:v>Live portal exposes version 3 content; latest identified substantive release is 2023</x:v>
      </x:c>
      <x:c r="G23" s="159" t="str">
        <x:v>2023 release; accessed 2026-08-14</x:v>
      </x:c>
      <x:c r="H23" s="170" t="n">
        <x:v>363</x:v>
      </x:c>
      <x:c r="I23" s="158" t="str">
        <x:v>site-mapped glycoprotein entries</x:v>
      </x:c>
      <x:c r="J23" s="170" t="n">
        <x:v>1314</x:v>
      </x:c>
      <x:c r="K23" s="170" t="str">
        <x:v>prokaryotes</x:v>
      </x:c>
      <x:c r="L23" s="170" t="str">
        <x:v>glycosylation broad</x:v>
      </x:c>
      <x:c r="M23" s="158" t="str">
        <x:v>1655 total entries = 363 site-mapped glycoproteins + 951 experimentally glycosylated proteins without a mapped site + 152 main glycosyltransferases + 189 accessory enzymes</x:v>
      </x:c>
      <x:c r="N23" s="184" t="str">
        <x:v>https://www.proglycprot.org/</x:v>
      </x:c>
      <x:c r="O23" s="184" t="str">
        <x:v>https://www.proglycprot.org/</x:v>
      </x:c>
      <x:c r="P23" s="158" t="str">
        <x:v>INCLUDE_LIVE_AGING_DEDICATED_EVIDENCE_DB</x:v>
      </x:c>
      <x:c r="Q23" s="158" t="str">
        <x:v>363 is an entry count, not the number of unique modified residues; v3 supersedes the older 222-entry v2 snapshot.</x:v>
      </x:c>
    </x:row>
    <x:row r="24" ht="33" customHeight="1">
      <x:c r="A24" s="150" t="str">
        <x:v>dbOGAP</x:v>
      </x:c>
      <x:c r="B24" s="150" t="str">
        <x:v>dedicated site database plus predictor</x:v>
      </x:c>
      <x:c r="C24" s="150" t="str">
        <x:v>Protein O-GlcNAcylation</x:v>
      </x:c>
      <x:c r="D24" s="151" t="str">
        <x:v>yes</x:v>
      </x:c>
      <x:c r="E24" s="151" t="str">
        <x:v>SUPERSEDED_LEGACY</x:v>
      </x:c>
      <x:c r="F24" s="150" t="str">
        <x:v>O-GlcNAcAtlas paper states dbOGAP had not been updated</x:v>
      </x:c>
      <x:c r="G24" s="151" t="str">
        <x:v>2011-03-22</x:v>
      </x:c>
      <x:c r="H24" s="168" t="n">
        <x:v>400</x:v>
      </x:c>
      <x:c r="I24" s="150" t="str">
        <x:v>approximately experimentally identified O-GlcNAc sites</x:v>
      </x:c>
      <x:c r="J24" s="168" t="n">
        <x:v>172</x:v>
      </x:c>
      <x:c r="K24" s="168" t="str">
        <x:v>multiple</x:v>
      </x:c>
      <x:c r="L24" s="168" t="n">
        <x:v>1</x:v>
      </x:c>
      <x:c r="M24" s="150" t="str">
        <x:v>About 800 experimentally annotated proteins; about 365 orthology-inferred proteins</x:v>
      </x:c>
      <x:c r="N24" s="152" t="str"/>
      <x:c r="O24" s="185" t="str">
        <x:v>https://pmc.ncbi.nlm.nih.gov/articles/PMC3083348/</x:v>
      </x:c>
      <x:c r="P24" s="150" t="str">
        <x:v>HISTORICAL_SUPERSEDED</x:v>
      </x:c>
      <x:c r="Q24" s="150" t="str">
        <x:v>Use O-GlcNAcAtlas or O-GlcNAc Database for current counts.</x:v>
      </x:c>
    </x:row>
    <x:row r="25" ht="33" customHeight="1">
      <x:c r="A25" s="158" t="str">
        <x:v>O-GLYCBASE</x:v>
      </x:c>
      <x:c r="B25" s="158" t="str">
        <x:v>dedicated site database</x:v>
      </x:c>
      <x:c r="C25" s="158" t="str">
        <x:v>O-linked glycosylation</x:v>
      </x:c>
      <x:c r="D25" s="159" t="str">
        <x:v>yes</x:v>
      </x:c>
      <x:c r="E25" s="159" t="str">
        <x:v>SUPERSEDED_LEGACY</x:v>
      </x:c>
      <x:c r="F25" s="158" t="str">
        <x:v>Historical database snapshot; no current maintained endpoint identified</x:v>
      </x:c>
      <x:c r="G25" s="159" t="n">
        <x:v>2001</x:v>
      </x:c>
      <x:c r="H25" s="170" t="n">
        <x:v>992</x:v>
      </x:c>
      <x:c r="I25" s="158" t="str">
        <x:v>experimentally verified O-glycosylation sites</x:v>
      </x:c>
      <x:c r="J25" s="170" t="str"/>
      <x:c r="K25" s="170" t="str"/>
      <x:c r="L25" s="170" t="str">
        <x:v>multiple O-linked sugars</x:v>
      </x:c>
      <x:c r="M25" s="158" t="str">
        <x:v>339 serine sites; 653 threonine sites</x:v>
      </x:c>
      <x:c r="N25" s="160" t="str"/>
      <x:c r="O25" s="184" t="str">
        <x:v>https://www.sciencedirect.com/science/article/pii/S0006349501760742</x:v>
      </x:c>
      <x:c r="P25" s="158" t="str">
        <x:v>HISTORICAL_ONLY</x:v>
      </x:c>
      <x:c r="Q25" s="158" t="str">
        <x:v>Do not count as active.</x:v>
      </x:c>
    </x:row>
    <x:row r="26" ht="33" customHeight="1">
      <x:c r="A26" s="150" t="str">
        <x:v>SwissPalm</x:v>
      </x:c>
      <x:c r="B26" s="150" t="str">
        <x:v>dedicated site database</x:v>
      </x:c>
      <x:c r="C26" s="150" t="str">
        <x:v>Protein S-palmitoylation</x:v>
      </x:c>
      <x:c r="D26" s="151" t="str">
        <x:v>yes</x:v>
      </x:c>
      <x:c r="E26" s="151" t="str">
        <x:v>LIVE_AGING</x:v>
      </x:c>
      <x:c r="F26" s="150" t="str">
        <x:v>Current hostname responds with access blocking; latest exact primary counts found are from 2015</x:v>
      </x:c>
      <x:c r="G26" s="151" t="str">
        <x:v>2015-08-28</x:v>
      </x:c>
      <x:c r="H26" s="168" t="n">
        <x:v>535</x:v>
      </x:c>
      <x:c r="I26" s="150" t="str">
        <x:v>known S-palmitoylation sites</x:v>
      </x:c>
      <x:c r="J26" s="168" t="n">
        <x:v>5199</x:v>
      </x:c>
      <x:c r="K26" s="168" t="n">
        <x:v>7</x:v>
      </x:c>
      <x:c r="L26" s="168" t="n">
        <x:v>1</x:v>
      </x:c>
      <x:c r="M26" s="150" t="str">
        <x:v>19 palmitoyl-proteomes</x:v>
      </x:c>
      <x:c r="N26" s="185" t="str">
        <x:v>https://swisspalm.org/</x:v>
      </x:c>
      <x:c r="O26" s="185" t="str">
        <x:v>https://pmc.ncbi.nlm.nih.gov/articles/PMC4544385/</x:v>
      </x:c>
      <x:c r="P26" s="150" t="str">
        <x:v>INCLUDE_LIVE_AGING_DEDICATED_SITE_DB</x:v>
      </x:c>
      <x:c r="Q26" s="150" t="str">
        <x:v>dbSNO 3.0 now provides the more current exact S-palmitoylation count.</x:v>
      </x:c>
    </x:row>
    <x:row r="27" ht="33" customHeight="1">
      <x:c r="A27" s="158" t="str">
        <x:v>PRENbase</x:v>
      </x:c>
      <x:c r="B27" s="158" t="str">
        <x:v>mixed experimental and prediction database</x:v>
      </x:c>
      <x:c r="C27" s="158" t="str">
        <x:v>Farnesylation CaaX geranylgeranylation and Rab geranylgeranylation</x:v>
      </x:c>
      <x:c r="D27" s="159" t="str">
        <x:v>mixed</x:v>
      </x:c>
      <x:c r="E27" s="159" t="str">
        <x:v>LIVE_AGING</x:v>
      </x:c>
      <x:c r="F27" s="158" t="str">
        <x:v>Portal responds; documented experimental corpus is from 2007</x:v>
      </x:c>
      <x:c r="G27" s="159" t="str">
        <x:v>2007-03-30</x:v>
      </x:c>
      <x:c r="H27" s="170" t="n">
        <x:v>113</x:v>
      </x:c>
      <x:c r="I27" s="158" t="str">
        <x:v>experimentally verified prenylated proteins</x:v>
      </x:c>
      <x:c r="J27" s="170" t="n">
        <x:v>113</x:v>
      </x:c>
      <x:c r="K27" s="170" t="str">
        <x:v>multiple</x:v>
      </x:c>
      <x:c r="L27" s="170" t="str">
        <x:v>3 enzyme/anchor routes</x:v>
      </x:c>
      <x:c r="M27" s="158" t="str">
        <x:v>41 KNOWN clusters; 106 LIKELY clusters</x:v>
      </x:c>
      <x:c r="N27" s="184" t="str">
        <x:v>https://mendel.imp.ac.at/PrePS/PRENbase/</x:v>
      </x:c>
      <x:c r="O27" s="184" t="str">
        <x:v>https://pmc.ncbi.nlm.nih.gov/articles/PMC1847700/</x:v>
      </x:c>
      <x:c r="P27" s="158" t="str">
        <x:v>INCLUDE_ONLY_EXPERIMENTALLY_VERIFIED_SUBSET</x:v>
      </x:c>
      <x:c r="Q27" s="158" t="str">
        <x:v>Not a modern residue-site atlas and includes predictions.</x:v>
      </x:c>
    </x:row>
    <x:row r="28" ht="33" customHeight="1">
      <x:c r="A28" s="150" t="str">
        <x:v>MYRbase</x:v>
      </x:c>
      <x:c r="B28" s="150" t="str">
        <x:v>prediction database with experimental annotations</x:v>
      </x:c>
      <x:c r="C28" s="150" t="str">
        <x:v>N-terminal glycine myristoylation</x:v>
      </x:c>
      <x:c r="D28" s="151" t="str">
        <x:v>mixed</x:v>
      </x:c>
      <x:c r="E28" s="151" t="str">
        <x:v>LIVE_AGING</x:v>
      </x:c>
      <x:c r="F28" s="150" t="str">
        <x:v>Portal responds; resource is prediction-centered and publication is from 2004</x:v>
      </x:c>
      <x:c r="G28" s="151" t="str">
        <x:v>2004-02-13</x:v>
      </x:c>
      <x:c r="H28" s="168" t="str"/>
      <x:c r="I28" s="150" t="str">
        <x:v>no current strict experimental site count surfaced</x:v>
      </x:c>
      <x:c r="J28" s="168" t="str"/>
      <x:c r="K28" s="168" t="str">
        <x:v>multiple</x:v>
      </x:c>
      <x:c r="L28" s="168" t="n">
        <x:v>1</x:v>
      </x:c>
      <x:c r="M28" s="150" t="str">
        <x:v>Approximately 4400 predicted eukaryotic sequences reduced to approximately 2000 cluster representatives in the original analysis</x:v>
      </x:c>
      <x:c r="N28" s="185" t="str">
        <x:v>https://mendel.imp.ac.at/myristate/myrbase/</x:v>
      </x:c>
      <x:c r="O28" s="185" t="str">
        <x:v>https://pmc.ncbi.nlm.nih.gov/articles/PMC395771/</x:v>
      </x:c>
      <x:c r="P28" s="150" t="str">
        <x:v>EXCLUDE_FROM_STRICT_EXPERIMENTAL_SITE_ROSTER</x:v>
      </x:c>
      <x:c r="Q28" s="150" t="str">
        <x:v>Known status is flagged but the resource is principally genome-wide prediction.</x:v>
      </x:c>
    </x:row>
    <x:row r="29" ht="33" customHeight="1">
      <x:c r="A29" s="158" t="str">
        <x:v>GPI-AP Database</x:v>
      </x:c>
      <x:c r="B29" s="158" t="str">
        <x:v>mixed experimental and prediction database</x:v>
      </x:c>
      <x:c r="C29" s="158" t="str">
        <x:v>Human GPI-anchored proteins and probable omega sites</x:v>
      </x:c>
      <x:c r="D29" s="159" t="str">
        <x:v>mixed</x:v>
      </x:c>
      <x:c r="E29" s="159" t="str">
        <x:v>ACTIVE_MIXED</x:v>
      </x:c>
      <x:c r="F29" s="158" t="str">
        <x:v>Current Google Site; merges reviewed UniProt annotations with two predictors</x:v>
      </x:c>
      <x:c r="G29" s="159" t="str">
        <x:v>current page accessed 2026-08-14</x:v>
      </x:c>
      <x:c r="H29" s="170" t="n">
        <x:v>139</x:v>
      </x:c>
      <x:c r="I29" s="158" t="str">
        <x:v>reviewed human proteins experimentally annotated as GPI-anchored</x:v>
      </x:c>
      <x:c r="J29" s="170" t="n">
        <x:v>139</x:v>
      </x:c>
      <x:c r="K29" s="170" t="n">
        <x:v>1</x:v>
      </x:c>
      <x:c r="L29" s="170" t="n">
        <x:v>1</x:v>
      </x:c>
      <x:c r="M29" s="158" t="str">
        <x:v>644 unique merged entries; 526 GPI-SOM predictions; 308 Pred-GPI-mapped entries</x:v>
      </x:c>
      <x:c r="N29" s="184" t="str">
        <x:v>https://sites.google.com/view/gpi-ap-database</x:v>
      </x:c>
      <x:c r="O29" s="184" t="str">
        <x:v>https://sites.google.com/view/gpi-ap-database</x:v>
      </x:c>
      <x:c r="P29" s="158" t="str">
        <x:v>EXCLUDE_FROM_STRICT_RESIDUE_SITE_ROSTER</x:v>
      </x:c>
      <x:c r="Q29" s="158" t="str">
        <x:v>Omega positions are described as probable/predicted, so 139 is a protein count not an experimental attachment-site count.</x:v>
      </x:c>
    </x:row>
    <x:row r="30" ht="33" customHeight="1">
      <x:c r="A30" s="150" t="str">
        <x:v>StrucPTM</x:v>
      </x:c>
      <x:c r="B30" s="150" t="str">
        <x:v>structural PTM database</x:v>
      </x:c>
      <x:c r="C30" s="150" t="str">
        <x:v>PTMs directly validated in PDB/mmCIF structures</x:v>
      </x:c>
      <x:c r="D30" s="151" t="str">
        <x:v>structural occurrence evidence</x:v>
      </x:c>
      <x:c r="E30" s="151" t="str">
        <x:v>ACTIVE_MAINTAINED</x:v>
      </x:c>
      <x:c r="F30" s="150" t="str">
        <x:v>Official paper and code describe weekly updates; live API exposes snapshot date</x:v>
      </x:c>
      <x:c r="G30" s="151" t="str">
        <x:v>2026-08-11</x:v>
      </x:c>
      <x:c r="H30" s="168" t="n">
        <x:v>177755</x:v>
      </x:c>
      <x:c r="I30" s="150" t="str">
        <x:v>PDB/mmCIF modified-residue occurrences</x:v>
      </x:c>
      <x:c r="J30" s="168" t="str"/>
      <x:c r="K30" s="168" t="str"/>
      <x:c r="L30" s="168" t="n">
        <x:v>13</x:v>
      </x:c>
      <x:c r="M30" s="150" t="str">
        <x:v>23817 unique mmCIF structures; glycosylation 140416; methylation 12079; phosphorylation 9679; hydroxylation 4350; oxidation 2277; N6-carboxylysine 2202; formylation 2196; pyroglutamate 1434; acetylation 1285; sulfation 869; gamma-carboxyglutamate 790; SNO 97; nitration 81</x:v>
      </x:c>
      <x:c r="N30" s="185" t="str">
        <x:v>https://prix.hanyang.ac.kr/strucptm/</x:v>
      </x:c>
      <x:c r="O30" s="185" t="str">
        <x:v>https://prix.hanyang.ac.kr/strucptm/api/stats_overview</x:v>
      </x:c>
      <x:c r="P30" s="150" t="str">
        <x:v>INCLUDE_AS_STRUCTURAL_OCCURRENCE_RESOURCE</x:v>
      </x:c>
      <x:c r="Q30" s="150" t="str">
        <x:v>Not a functional-effect database; PDB occurrences are not unique biological sequence sites. Publication snapshot was 165895, lower than current API because the database updates weekly.</x:v>
      </x:c>
    </x:row>
    <x:row r="31" ht="33" customHeight="1">
      <x:c r="A31" s="158" t="str">
        <x:v>PTM-SD</x:v>
      </x:c>
      <x:c r="B31" s="158" t="str">
        <x:v>structural PTM database</x:v>
      </x:c>
      <x:c r="C31" s="158" t="str">
        <x:v>Structurally resolved and independently annotated PTMs</x:v>
      </x:c>
      <x:c r="D31" s="159" t="str">
        <x:v>yes</x:v>
      </x:c>
      <x:c r="E31" s="159" t="str">
        <x:v>LIVE_STATIC</x:v>
      </x:c>
      <x:c r="F31" s="158" t="str">
        <x:v>Portal responds but its own statistics JavaScript is fixed at January 2019</x:v>
      </x:c>
      <x:c r="G31" s="159" t="str">
        <x:v>2019-01</x:v>
      </x:c>
      <x:c r="H31" s="170" t="n">
        <x:v>11677</x:v>
      </x:c>
      <x:c r="I31" s="158" t="str">
        <x:v>PTM-SD structural entries</x:v>
      </x:c>
      <x:c r="J31" s="170" t="str"/>
      <x:c r="K31" s="170" t="str"/>
      <x:c r="L31" s="170" t="n">
        <x:v>21</x:v>
      </x:c>
      <x:c r="M31" s="158" t="str">
        <x:v>Official page states weekly structure and monthly annotation updates but displayed data snapshot remains 2019</x:v>
      </x:c>
      <x:c r="N31" s="184" t="str">
        <x:v>https://www.dsimb.inserm.fr/PTM-SD/</x:v>
      </x:c>
      <x:c r="O31" s="184" t="str">
        <x:v>https://pmc.ncbi.nlm.nih.gov/articles/PMC4038255/</x:v>
      </x:c>
      <x:c r="P31" s="158" t="str">
        <x:v>INCLUDE_AS_LIVE_STATIC_STRUCTURAL_RESOURCE</x:v>
      </x:c>
      <x:c r="Q31" s="158" t="str">
        <x:v>Use StrucPTM for current structural counts.</x:v>
      </x:c>
    </x:row>
    <x:row r="32" ht="33" customHeight="1">
      <x:c r="A32" s="150" t="str">
        <x:v>PRISMOID</x:v>
      </x:c>
      <x:c r="B32" s="150" t="str">
        <x:v>structural PTM and mutation database</x:v>
      </x:c>
      <x:c r="C32" s="150" t="str">
        <x:v>PTM sites in 3D structures and nearby mutations with functional impact</x:v>
      </x:c>
      <x:c r="D32" s="151" t="str">
        <x:v>yes</x:v>
      </x:c>
      <x:c r="E32" s="151" t="str">
        <x:v>UNAVAILABLE</x:v>
      </x:c>
      <x:c r="F32" s="150" t="str">
        <x:v>Official hostname currently fails DNS resolution</x:v>
      </x:c>
      <x:c r="G32" s="151" t="str">
        <x:v>2019-06-01</x:v>
      </x:c>
      <x:c r="H32" s="168" t="n">
        <x:v>17145</x:v>
      </x:c>
      <x:c r="I32" s="150" t="str">
        <x:v>nonredundant PTM sites</x:v>
      </x:c>
      <x:c r="J32" s="168" t="str"/>
      <x:c r="K32" s="168" t="str"/>
      <x:c r="L32" s="168" t="n">
        <x:v>37</x:v>
      </x:c>
      <x:c r="M32" s="150" t="str">
        <x:v>3919 PDB structure entries</x:v>
      </x:c>
      <x:c r="N32" s="185" t="str">
        <x:v>http://prismoid.erc.monash.edu/</x:v>
      </x:c>
      <x:c r="O32" s="185" t="str">
        <x:v>https://pmc.ncbi.nlm.nih.gov/articles/PMC7299293/</x:v>
      </x:c>
      <x:c r="P32" s="150" t="str">
        <x:v>HISTORICAL_ONLY_UNAVAILABLE</x:v>
      </x:c>
      <x:c r="Q32" s="150" t="str">
        <x:v>Its functional-impact layer concerns mutations at or near PTMs and is not a general causal PTM-effect catalog.</x:v>
      </x:c>
    </x:row>
    <x:row r="33" ht="33" customHeight="1">
      <x:c r="A33" s="158" t="str">
        <x:v>PTMint</x:v>
      </x:c>
      <x:c r="B33" s="158" t="str">
        <x:v>functional relation database</x:v>
      </x:c>
      <x:c r="C33" s="158" t="str">
        <x:v>Experimentally verified PTM regulation of protein-protein interactions</x:v>
      </x:c>
      <x:c r="D33" s="159" t="str">
        <x:v>yes</x:v>
      </x:c>
      <x:c r="E33" s="159" t="str">
        <x:v>LIVE_AGING</x:v>
      </x:c>
      <x:c r="F33" s="158" t="str">
        <x:v>Portal responds; current documented content is the 2022/2023 first release</x:v>
      </x:c>
      <x:c r="G33" s="159" t="str">
        <x:v>2022-12-22</x:v>
      </x:c>
      <x:c r="H33" s="170" t="n">
        <x:v>2477</x:v>
      </x:c>
      <x:c r="I33" s="158" t="str">
        <x:v>nonredundant PTM sites with experimentally supported PPI effects</x:v>
      </x:c>
      <x:c r="J33" s="170" t="n">
        <x:v>1169</x:v>
      </x:c>
      <x:c r="K33" s="170" t="str">
        <x:v>6 organisms</x:v>
      </x:c>
      <x:c r="L33" s="170" t="n">
        <x:v>6</x:v>
      </x:c>
      <x:c r="M33" s="158" t="str">
        <x:v>2371 protein-protein pairs; 357 diseases; 87 percent of sites are phosphorylation; glycosylation has 5 sites</x:v>
      </x:c>
      <x:c r="N33" s="184" t="str">
        <x:v>https://ptmint.sjtu.edu.cn/</x:v>
      </x:c>
      <x:c r="O33" s="184" t="str">
        <x:v>https://pmc.ncbi.nlm.nih.gov/articles/PMC9848059/</x:v>
      </x:c>
      <x:c r="P33" s="158" t="str">
        <x:v>INCLUDE_AS_FUNCTIONAL_EFFECT_RESOURCE_NOT_SITE_INVENTORY</x:v>
      </x:c>
      <x:c r="Q33" s="158" t="str">
        <x:v>Useful exact effect-layer denominator; not a comprehensive PTM discovery database.</x:v>
      </x:c>
    </x:row>
    <x:row r="34" ht="33" customHeight="1">
      <x:c r="A34" s="150" t="str">
        <x:v>PTMD 2.0</x:v>
      </x:c>
      <x:c r="B34" s="150" t="str">
        <x:v>functional disease-association database</x:v>
      </x:c>
      <x:c r="C34" s="150" t="str">
        <x:v>PTM-disease associations</x:v>
      </x:c>
      <x:c r="D34" s="151" t="str">
        <x:v>mixed curated and inferred</x:v>
      </x:c>
      <x:c r="E34" s="151" t="str">
        <x:v>ACTIVE_MAINTAINED</x:v>
      </x:c>
      <x:c r="F34" s="150" t="str">
        <x:v>Official site gives 2024 update and separates known/manual from potential associations</x:v>
      </x:c>
      <x:c r="G34" s="151" t="str">
        <x:v>2024-08-06</x:v>
      </x:c>
      <x:c r="H34" s="168" t="n">
        <x:v>342624</x:v>
      </x:c>
      <x:c r="I34" s="150" t="str">
        <x:v>PTM-disease associations</x:v>
      </x:c>
      <x:c r="J34" s="168" t="n">
        <x:v>15105</x:v>
      </x:c>
      <x:c r="K34" s="168" t="str">
        <x:v>human disease scope</x:v>
      </x:c>
      <x:c r="L34" s="168" t="n">
        <x:v>93</x:v>
      </x:c>
      <x:c r="M34" s="150" t="str">
        <x:v>6740 manually collected experimental PDAs; 335884 potential PDAs; 2083 diseases</x:v>
      </x:c>
      <x:c r="N34" s="185" t="str">
        <x:v>https://ptmd.biocuckoo.cn/</x:v>
      </x:c>
      <x:c r="O34" s="185" t="str">
        <x:v>https://pmc.ncbi.nlm.nih.gov/articles/PMC11701619/</x:v>
      </x:c>
      <x:c r="P34" s="150" t="str">
        <x:v>INCLUDE_AS_FUNCTIONAL_ASSOCIATION_RESOURCE_NOT_SITE_INVENTORY</x:v>
      </x:c>
      <x:c r="Q34" s="150" t="str">
        <x:v>Do not label all 342624 associations as curated experimental effects.</x:v>
      </x:c>
    </x:row>
    <x:row r="35" ht="33" customHeight="1">
      <x:c r="A35" s="158" t="str">
        <x:v>PMADS</x:v>
      </x:c>
      <x:c r="B35" s="158" t="str">
        <x:v>functional drug-association database</x:v>
      </x:c>
      <x:c r="C35" s="158" t="str">
        <x:v>PTM-drug-disease ternary associations</x:v>
      </x:c>
      <x:c r="D35" s="159" t="str">
        <x:v>mixed curated and inferred</x:v>
      </x:c>
      <x:c r="E35" s="159" t="str">
        <x:v>ACTIVE_MAINTAINED</x:v>
      </x:c>
      <x:c r="F35" s="158" t="str">
        <x:v>Current release and 2025/2026 primary paper</x:v>
      </x:c>
      <x:c r="G35" s="159" t="str">
        <x:v>2025-08-10</x:v>
      </x:c>
      <x:c r="H35" s="170" t="n">
        <x:v>4775</x:v>
      </x:c>
      <x:c r="I35" s="158" t="str">
        <x:v>manually curated PTM-drug-disease associations</x:v>
      </x:c>
      <x:c r="J35" s="170" t="str">
        <x:v>more than 500</x:v>
      </x:c>
      <x:c r="K35" s="170" t="n">
        <x:v>11</x:v>
      </x:c>
      <x:c r="L35" s="170" t="str">
        <x:v>multiple</x:v>
      </x:c>
      <x:c r="M35" s="158" t="str">
        <x:v>1022 drugs; approximately 1000 modification sites; approximately 300 disease classes; more than 43800 inferred associations</x:v>
      </x:c>
      <x:c r="N35" s="184" t="str">
        <x:v>https://pmads.org/</x:v>
      </x:c>
      <x:c r="O35" s="184" t="str">
        <x:v>https://academic.oup.com/nar/article/54/D1/D1569/8287589</x:v>
      </x:c>
      <x:c r="P35" s="158" t="str">
        <x:v>INCLUDE_AS_FUNCTIONAL_ASSOCIATION_RESOURCE_NOT_SITE_INVENTORY</x:v>
      </x:c>
      <x:c r="Q35" s="158" t="str">
        <x:v>Association records are not site counts.</x:v>
      </x:c>
    </x:row>
    <x:row r="36" ht="33" customHeight="1">
      <x:c r="A36" s="150" t="str">
        <x:v>PTMeXchange</x:v>
      </x:c>
      <x:c r="B36" s="150" t="str">
        <x:v>multi-PTM reanalysis infrastructure</x:v>
      </x:c>
      <x:c r="C36" s="150" t="str">
        <x:v>FAIR reanalysis builds for selected PTMs</x:v>
      </x:c>
      <x:c r="D36" s="151" t="str">
        <x:v>yes</x:v>
      </x:c>
      <x:c r="E36" s="151" t="str">
        <x:v>ACTIVE_MAINTAINED</x:v>
      </x:c>
      <x:c r="F36" s="150" t="str">
        <x:v>Official site lists current builds for phosphorylation SUMO ubiquitination acetylation and methylation</x:v>
      </x:c>
      <x:c r="G36" s="151" t="str">
        <x:v>current site accessed 2026-08-14</x:v>
      </x:c>
      <x:c r="H36" s="168" t="str"/>
      <x:c r="I36" s="150" t="str">
        <x:v>build-specific site counts</x:v>
      </x:c>
      <x:c r="J36" s="168" t="str"/>
      <x:c r="K36" s="168" t="str"/>
      <x:c r="L36" s="168" t="str">
        <x:v>multiple</x:v>
      </x:c>
      <x:c r="M36" s="150" t="str">
        <x:v>Build-specific counts must be reported separately</x:v>
      </x:c>
      <x:c r="N36" s="185" t="str">
        <x:v>https://www.proteomexchange.org/ptmexchange/index.html</x:v>
      </x:c>
      <x:c r="O36" s="185" t="str">
        <x:v>https://www.proteomexchange.org/ptmexchange/index.html</x:v>
      </x:c>
      <x:c r="P36" s="150" t="str">
        <x:v>INCLUDE_AS_ACTIVE_ATLAS_INFRASTRUCTURE_NOT_INDEPENDENT_DB</x:v>
      </x:c>
      <x:c r="Q36" s="150" t="str">
        <x:v>Do not count every build as an independent source database without an explicit rule.</x:v>
      </x:c>
    </x:row>
    <x:row r="37" ht="33" customHeight="1">
      <x:c r="A37" s="158" t="str">
        <x:v>FLAMS</x:v>
      </x:c>
      <x:c r="B37" s="158" t="str">
        <x:v>meta-search tool</x:v>
      </x:c>
      <x:c r="C37" s="158" t="str">
        <x:v>Federated position-based lookup across CPLM dbPTM and SCOP3P</x:v>
      </x:c>
      <x:c r="D37" s="159" t="str">
        <x:v>inherits source evidence</x:v>
      </x:c>
      <x:c r="E37" s="159" t="str">
        <x:v>ACTIVE_MAINTAINED</x:v>
      </x:c>
      <x:c r="F37" s="158" t="str">
        <x:v>Official help page gives tool and source-database versions</x:v>
      </x:c>
      <x:c r="G37" s="159" t="str">
        <x:v>2026-02-06</x:v>
      </x:c>
      <x:c r="H37" s="170" t="str"/>
      <x:c r="I37" s="158" t="str">
        <x:v>no independent site corpus</x:v>
      </x:c>
      <x:c r="J37" s="170" t="str"/>
      <x:c r="K37" s="170" t="str"/>
      <x:c r="L37" s="170" t="str">
        <x:v>multiple</x:v>
      </x:c>
      <x:c r="M37" s="158" t="str">
        <x:v>v1.1.7; database v1.5; searches CPLM 2025-02 dbPTM 2026-01 and SCOP3P 2026-01</x:v>
      </x:c>
      <x:c r="N37" s="184" t="str">
        <x:v>https://www.biw.kuleuven.be/m2s/cmpg/research/CSB/tools/flams/help</x:v>
      </x:c>
      <x:c r="O37" s="184" t="str">
        <x:v>https://www.biw.kuleuven.be/m2s/cmpg/research/CSB/tools/flams/help</x:v>
      </x:c>
      <x:c r="P37" s="158" t="str">
        <x:v>EXCLUDE_AS_INDEPENDENT_DATABASE</x:v>
      </x:c>
      <x:c r="Q37" s="158" t="str">
        <x:v>Useful lookup layer but it would double-count its source databases.</x:v>
      </x:c>
    </x:row>
    <x:row r="38" ht="33" customHeight="1">
      <x:c r="A38" s="150" t="str">
        <x:v>GPS-SUMO 2.0</x:v>
      </x:c>
      <x:c r="B38" s="150" t="str">
        <x:v>predictor with embedded experimental corpus</x:v>
      </x:c>
      <x:c r="C38" s="150" t="str">
        <x:v>SUMOylation sites and SUMO-interacting motifs</x:v>
      </x:c>
      <x:c r="D38" s="151" t="str">
        <x:v>mixed</x:v>
      </x:c>
      <x:c r="E38" s="151" t="str">
        <x:v>ACTIVE_MIXED</x:v>
      </x:c>
      <x:c r="F38" s="150" t="str">
        <x:v>2024 predictor release with a compiled experimental corpus</x:v>
      </x:c>
      <x:c r="G38" s="151" t="str">
        <x:v>2024-06-20</x:v>
      </x:c>
      <x:c r="H38" s="168" t="n">
        <x:v>74927</x:v>
      </x:c>
      <x:c r="I38" s="150" t="str">
        <x:v>compiled experimentally observed SUMOylation sites</x:v>
      </x:c>
      <x:c r="J38" s="168" t="n">
        <x:v>14809</x:v>
      </x:c>
      <x:c r="K38" s="168" t="n">
        <x:v>13</x:v>
      </x:c>
      <x:c r="L38" s="168" t="n">
        <x:v>1</x:v>
      </x:c>
      <x:c r="M38" s="150" t="str">
        <x:v>176 experimentally identified SIMs; corpus includes 53495 CPLM sites plus other databases and literature</x:v>
      </x:c>
      <x:c r="N38" s="152" t="str"/>
      <x:c r="O38" s="185" t="str">
        <x:v>https://pmc.ncbi.nlm.nih.gov/articles/PMC11223847/</x:v>
      </x:c>
      <x:c r="P38" s="150" t="str">
        <x:v>INCLUDE_AS_PREDICTOR_CORPUS_NOT_INDEPENDENT_DB</x:v>
      </x:c>
      <x:c r="Q38" s="150" t="str">
        <x:v>The embedded corpus overlaps CPLM and other databases.</x:v>
      </x:c>
    </x:row>
    <x:row r="39" ht="33" customHeight="1">
      <x:c r="A39" s="158" t="str">
        <x:v>mUbiSiDa</x:v>
      </x:c>
      <x:c r="B39" s="158" t="str">
        <x:v>dedicated site database</x:v>
      </x:c>
      <x:c r="C39" s="158" t="str">
        <x:v>Mammalian ubiquitination</x:v>
      </x:c>
      <x:c r="D39" s="159" t="str">
        <x:v>yes</x:v>
      </x:c>
      <x:c r="E39" s="159" t="str">
        <x:v>SUPERSEDED_LEGACY</x:v>
      </x:c>
      <x:c r="F39" s="158" t="str">
        <x:v>Historical 2014 resource; no current maintained endpoint established</x:v>
      </x:c>
      <x:c r="G39" s="159" t="str">
        <x:v>2014-01-01</x:v>
      </x:c>
      <x:c r="H39" s="170" t="n">
        <x:v>110976</x:v>
      </x:c>
      <x:c r="I39" s="158" t="str">
        <x:v>experimentally validated ubiquitination sites</x:v>
      </x:c>
      <x:c r="J39" s="170" t="n">
        <x:v>35494</x:v>
      </x:c>
      <x:c r="K39" s="170" t="n">
        <x:v>5</x:v>
      </x:c>
      <x:c r="L39" s="170" t="n">
        <x:v>1</x:v>
      </x:c>
      <x:c r="M39" s="158" t="str"/>
      <x:c r="N39" s="160" t="str"/>
      <x:c r="O39" s="184" t="str">
        <x:v>https://pmc.ncbi.nlm.nih.gov/articles/PMC3894998/</x:v>
      </x:c>
      <x:c r="P39" s="158" t="str">
        <x:v>HISTORICAL_SUPERSEDED</x:v>
      </x:c>
      <x:c r="Q39" s="158" t="str">
        <x:v>Use CPLM or current PTMeXchange build for present coverage.</x:v>
      </x:c>
    </x:row>
    <x:row r="40" ht="33" customHeight="1">
      <x:c r="A40" s="150" t="str">
        <x:v>UbiProt</x:v>
      </x:c>
      <x:c r="B40" s="150" t="str">
        <x:v>dedicated evidence database</x:v>
      </x:c>
      <x:c r="C40" s="150" t="str">
        <x:v>Ubiquitinated proteins with exact sites where known</x:v>
      </x:c>
      <x:c r="D40" s="151" t="str">
        <x:v>yes where reported</x:v>
      </x:c>
      <x:c r="E40" s="151" t="str">
        <x:v>SUPERSEDED_LEGACY</x:v>
      </x:c>
      <x:c r="F40" s="150" t="str">
        <x:v>Historical 2007 database; no current maintained endpoint established</x:v>
      </x:c>
      <x:c r="G40" s="151" t="n">
        <x:v>2007</x:v>
      </x:c>
      <x:c r="H40" s="168" t="str"/>
      <x:c r="I40" s="150" t="str">
        <x:v>protein records and sites where known</x:v>
      </x:c>
      <x:c r="J40" s="168" t="str"/>
      <x:c r="K40" s="168" t="str"/>
      <x:c r="L40" s="168" t="n">
        <x:v>1</x:v>
      </x:c>
      <x:c r="M40" s="150" t="str"/>
      <x:c r="N40" s="152" t="str"/>
      <x:c r="O40" s="185" t="str">
        <x:v>https://pmc.ncbi.nlm.nih.gov/articles/PMC1855352/</x:v>
      </x:c>
      <x:c r="P40" s="150" t="str">
        <x:v>HISTORICAL_ONLY</x:v>
      </x:c>
      <x:c r="Q40" s="150" t="str">
        <x:v>Do not count as active.</x:v>
      </x:c>
    </x:row>
    <x:row r="41" ht="33" customHeight="1">
      <x:c r="A41" s="158" t="str">
        <x:v>PupDB</x:v>
      </x:c>
      <x:c r="B41" s="158" t="str">
        <x:v>dedicated site database</x:v>
      </x:c>
      <x:c r="C41" s="158" t="str">
        <x:v>Prokaryotic pupylation</x:v>
      </x:c>
      <x:c r="D41" s="159" t="str">
        <x:v>yes</x:v>
      </x:c>
      <x:c r="E41" s="159" t="str">
        <x:v>SUPERSEDED_LEGACY</x:v>
      </x:c>
      <x:c r="F41" s="158" t="str">
        <x:v>Historical 2012 database; current maintenance not established</x:v>
      </x:c>
      <x:c r="G41" s="159" t="str">
        <x:v>2012-03-15</x:v>
      </x:c>
      <x:c r="H41" s="170" t="n">
        <x:v>215</x:v>
      </x:c>
      <x:c r="I41" s="158" t="str">
        <x:v>known pupylation sites</x:v>
      </x:c>
      <x:c r="J41" s="170" t="n">
        <x:v>182</x:v>
      </x:c>
      <x:c r="K41" s="170" t="n">
        <x:v>3</x:v>
      </x:c>
      <x:c r="L41" s="170" t="n">
        <x:v>1</x:v>
      </x:c>
      <x:c r="M41" s="158" t="str">
        <x:v>1123 candidate pupylated proteins</x:v>
      </x:c>
      <x:c r="N41" s="160" t="str"/>
      <x:c r="O41" s="184" t="str">
        <x:v>https://pmc.ncbi.nlm.nih.gov/articles/PMC3314583/</x:v>
      </x:c>
      <x:c r="P41" s="158" t="str">
        <x:v>HISTORICAL_SUPERSEDED</x:v>
      </x:c>
      <x:c r="Q41" s="158" t="str">
        <x:v>CPLM now has a current pupylation subset.</x:v>
      </x:c>
    </x:row>
    <x:row r="42" ht="33" customHeight="1">
      <x:c r="A42" s="150" t="str">
        <x:v>iUUCD 2.0</x:v>
      </x:c>
      <x:c r="B42" s="150" t="str">
        <x:v>regulator and domain database</x:v>
      </x:c>
      <x:c r="C42" s="150" t="str">
        <x:v>Ubiquitin and ubiquitin-like conjugation regulators</x:v>
      </x:c>
      <x:c r="D42" s="151" t="str">
        <x:v>no substrate-site inventory</x:v>
      </x:c>
      <x:c r="E42" s="151" t="str">
        <x:v>LIVE_AGING</x:v>
      </x:c>
      <x:c r="F42" s="150" t="str">
        <x:v>Documented content release is 2018</x:v>
      </x:c>
      <x:c r="G42" s="151" t="str">
        <x:v>2018-01-04</x:v>
      </x:c>
      <x:c r="H42" s="168" t="n">
        <x:v>136512</x:v>
      </x:c>
      <x:c r="I42" s="150" t="str">
        <x:v>UB/UBL regulators</x:v>
      </x:c>
      <x:c r="J42" s="168" t="str"/>
      <x:c r="K42" s="168" t="n">
        <x:v>148</x:v>
      </x:c>
      <x:c r="L42" s="168" t="str">
        <x:v>regulator families</x:v>
      </x:c>
      <x:c r="M42" s="150" t="str"/>
      <x:c r="N42" s="152" t="str"/>
      <x:c r="O42" s="185" t="str">
        <x:v>https://academic.oup.com/nar/article/46/D1/D447/4584638</x:v>
      </x:c>
      <x:c r="P42" s="150" t="str">
        <x:v>EXCLUDE_FROM_SITE_COVERAGE</x:v>
      </x:c>
      <x:c r="Q42" s="150" t="str">
        <x:v>Counts enzymes domains and regulators rather than modified residues.</x:v>
      </x:c>
    </x:row>
    <x:row r="43" ht="33" customHeight="1">
      <x:c r="A43" s="158" t="str">
        <x:v>DeepNitro</x:v>
      </x:c>
      <x:c r="B43" s="158" t="str">
        <x:v>predictor with embedded experimental corpus</x:v>
      </x:c>
      <x:c r="C43" s="158" t="str">
        <x:v>Tyrosine and tryptophan nitration plus S-nitrosylation</x:v>
      </x:c>
      <x:c r="D43" s="159" t="str">
        <x:v>mixed</x:v>
      </x:c>
      <x:c r="E43" s="159" t="str">
        <x:v>LIVE_AGING</x:v>
      </x:c>
      <x:c r="F43" s="158" t="str">
        <x:v>Portal responds; corpus publication is 2018 and literature cutoff was 2015</x:v>
      </x:c>
      <x:c r="G43" s="159" t="str">
        <x:v>2018-10-15</x:v>
      </x:c>
      <x:c r="H43" s="170" t="n">
        <x:v>1584</x:v>
      </x:c>
      <x:c r="I43" s="158" t="str">
        <x:v>compiled nitration sites</x:v>
      </x:c>
      <x:c r="J43" s="170" t="n">
        <x:v>3113</x:v>
      </x:c>
      <x:c r="K43" s="170" t="str">
        <x:v>multiple</x:v>
      </x:c>
      <x:c r="L43" s="170" t="str">
        <x:v>nitration and SNO</x:v>
      </x:c>
      <x:c r="M43" s="158" t="str">
        <x:v>1518 Tyr-nitration sites; 66 Trp-nitration sites; 4762 SNO sites</x:v>
      </x:c>
      <x:c r="N43" s="184" t="str">
        <x:v>https://www.deepnitro.renlab.org/help.html</x:v>
      </x:c>
      <x:c r="O43" s="184" t="str">
        <x:v>https://pmc.ncbi.nlm.nih.gov/articles/PMC6205083/</x:v>
      </x:c>
      <x:c r="P43" s="158" t="str">
        <x:v>INCLUDE_AS_PREDICTOR_CORPUS_NOT_STRICT_DB</x:v>
      </x:c>
      <x:c r="Q43" s="158" t="str">
        <x:v>Do not add SNO corpus to dbSNO.</x:v>
      </x:c>
    </x:row>
    <x:row r="44" ht="33" customHeight="1">
      <x:c r="A44" s="150" t="str">
        <x:v>dbGSH</x:v>
      </x:c>
      <x:c r="B44" s="150" t="str">
        <x:v>dedicated site database</x:v>
      </x:c>
      <x:c r="C44" s="150" t="str">
        <x:v>Protein S-glutathionylation</x:v>
      </x:c>
      <x:c r="D44" s="151" t="str">
        <x:v>yes</x:v>
      </x:c>
      <x:c r="E44" s="151" t="str">
        <x:v>SUPERSEDED_LEGACY</x:v>
      </x:c>
      <x:c r="F44" s="150" t="str">
        <x:v>Historical 2014 data snapshot</x:v>
      </x:c>
      <x:c r="G44" s="151" t="str">
        <x:v>2014-01-31</x:v>
      </x:c>
      <x:c r="H44" s="168" t="n">
        <x:v>2257</x:v>
      </x:c>
      <x:c r="I44" s="150" t="str">
        <x:v>S-glutathionylated cysteine sites</x:v>
      </x:c>
      <x:c r="J44" s="168" t="n">
        <x:v>1314</x:v>
      </x:c>
      <x:c r="K44" s="168" t="n">
        <x:v>16</x:v>
      </x:c>
      <x:c r="L44" s="168" t="n">
        <x:v>1</x:v>
      </x:c>
      <x:c r="M44" s="150" t="str">
        <x:v>169 publications</x:v>
      </x:c>
      <x:c r="N44" s="152" t="str"/>
      <x:c r="O44" s="185" t="str">
        <x:v>https://academic.oup.com/bioinformatics/article/30/16/2386/2748231</x:v>
      </x:c>
      <x:c r="P44" s="150" t="str">
        <x:v>HISTORICAL_SUPERSEDED</x:v>
      </x:c>
      <x:c r="Q44" s="150" t="str">
        <x:v>Use dbSNO 3.0 for current coverage.</x:v>
      </x:c>
    </x:row>
    <x:row r="45" ht="33" customHeight="1">
      <x:c r="A45" s="158" t="str">
        <x:v>RedoxDB</x:v>
      </x:c>
      <x:c r="B45" s="158" t="str">
        <x:v>narrow multi-family site database</x:v>
      </x:c>
      <x:c r="C45" s="158" t="str">
        <x:v>Experimentally verified oxidative cysteine modifications</x:v>
      </x:c>
      <x:c r="D45" s="159" t="str">
        <x:v>yes</x:v>
      </x:c>
      <x:c r="E45" s="159" t="str">
        <x:v>SUPERSEDED_LEGACY</x:v>
      </x:c>
      <x:c r="F45" s="158" t="str">
        <x:v>Historical 2012 resource; current maintained endpoint not established</x:v>
      </x:c>
      <x:c r="G45" s="159" t="n">
        <x:v>2012</x:v>
      </x:c>
      <x:c r="H45" s="170" t="str"/>
      <x:c r="I45" s="158" t="str">
        <x:v>site records</x:v>
      </x:c>
      <x:c r="J45" s="170" t="str"/>
      <x:c r="K45" s="170" t="str"/>
      <x:c r="L45" s="170" t="str">
        <x:v>multiple</x:v>
      </x:c>
      <x:c r="M45" s="158" t="str">
        <x:v>Disulfide S-sulfenylation S-sulfinylation S-nitrosylation and S-glutathionylation</x:v>
      </x:c>
      <x:c r="N45" s="160" t="str"/>
      <x:c r="O45" s="184" t="str">
        <x:v>https://academic.oup.com/bioinformatics/article/28/19/2551/289097</x:v>
      </x:c>
      <x:c r="P45" s="158" t="str">
        <x:v>HISTORICAL_SUPERSEDED</x:v>
      </x:c>
      <x:c r="Q45" s="158" t="str">
        <x:v>Use dbSNO 3.0 for current coverage.</x:v>
      </x:c>
    </x:row>
    <x:row r="46" ht="33" customHeight="1">
      <x:c r="A46" s="150" t="str">
        <x:v>GlycateBase</x:v>
      </x:c>
      <x:c r="B46" s="150" t="str">
        <x:v>static experimental dataset</x:v>
      </x:c>
      <x:c r="C46" s="150" t="str">
        <x:v>Lysine glycation</x:v>
      </x:c>
      <x:c r="D46" s="151" t="str">
        <x:v>yes</x:v>
      </x:c>
      <x:c r="E46" s="151" t="str">
        <x:v>LIVE_STATIC</x:v>
      </x:c>
      <x:c r="F46" s="150" t="str">
        <x:v>Official DTU dataset page remains available; no continuing database update stream</x:v>
      </x:c>
      <x:c r="G46" s="151" t="str">
        <x:v>dataset 1.0</x:v>
      </x:c>
      <x:c r="H46" s="168" t="n">
        <x:v>89</x:v>
      </x:c>
      <x:c r="I46" s="150" t="str">
        <x:v>experimentally verified glycated lysines</x:v>
      </x:c>
      <x:c r="J46" s="168" t="n">
        <x:v>20</x:v>
      </x:c>
      <x:c r="K46" s="168" t="str">
        <x:v>mammalian</x:v>
      </x:c>
      <x:c r="L46" s="168" t="n">
        <x:v>1</x:v>
      </x:c>
      <x:c r="M46" s="150" t="str">
        <x:v>126 experimentally non-glycated lysines</x:v>
      </x:c>
      <x:c r="N46" s="185" t="str">
        <x:v>https://services.healthtech.dtu.dk/datasets/GlycateBase-1.0/</x:v>
      </x:c>
      <x:c r="O46" s="185" t="str">
        <x:v>https://services.healthtech.dtu.dk/datasets/GlycateBase-1.0/</x:v>
      </x:c>
      <x:c r="P46" s="150" t="str">
        <x:v>INCLUDE_AS_STATIC_DATASET_NOT_ACTIVE_DB</x:v>
      </x:c>
      <x:c r="Q46" s="150" t="str">
        <x:v>CPLM provides a larger current lysine-glycation subset at protein level.</x:v>
      </x:c>
    </x:row>
    <x:row r="47" ht="33" customHeight="1">
      <x:c r="A47" s="158" t="str">
        <x:v>NEDD8 site atlas PXD022812</x:v>
      </x:c>
      <x:c r="B47" s="158" t="str">
        <x:v>dedicated experimental dataset</x:v>
      </x:c>
      <x:c r="C47" s="158" t="str">
        <x:v>Canonical and atypical NEDD8 conjugation</x:v>
      </x:c>
      <x:c r="D47" s="159" t="str">
        <x:v>yes</x:v>
      </x:c>
      <x:c r="E47" s="159" t="str">
        <x:v>SITE_DATASET</x:v>
      </x:c>
      <x:c r="F47" s="158" t="str">
        <x:v>ProteomeXchange dataset from 2021; not a maintained database</x:v>
      </x:c>
      <x:c r="G47" s="159" t="n">
        <x:v>2021</x:v>
      </x:c>
      <x:c r="H47" s="170" t="n">
        <x:v>1101</x:v>
      </x:c>
      <x:c r="I47" s="158" t="str">
        <x:v>unique NEDD8 modification sites</x:v>
      </x:c>
      <x:c r="J47" s="170" t="n">
        <x:v>620</x:v>
      </x:c>
      <x:c r="K47" s="170" t="n">
        <x:v>1</x:v>
      </x:c>
      <x:c r="L47" s="170" t="n">
        <x:v>1</x:v>
      </x:c>
      <x:c r="M47" s="158" t="str"/>
      <x:c r="N47" s="184" t="str">
        <x:v>https://proteomecentral.proteomexchange.org/cgi/GetDataset?ID=PXD022812</x:v>
      </x:c>
      <x:c r="O47" s="184" t="str">
        <x:v>https://proteomecentral.proteomexchange.org/cgi/GetDataset?ID=PXD022812</x:v>
      </x:c>
      <x:c r="P47" s="158" t="str">
        <x:v>INCLUDE_AS_SITE_DATASET_NOT_DATABASE</x:v>
      </x:c>
      <x:c r="Q47" s="158" t="str">
        <x:v>CPLM also contains a current NEDDylation subset.</x:v>
      </x:c>
    </x:row>
    <x:row r="48" ht="33" customHeight="1">
      <x:c r="A48" s="150" t="str">
        <x:v>novPTMenzy</x:v>
      </x:c>
      <x:c r="B48" s="150" t="str">
        <x:v>enzyme-family database</x:v>
      </x:c>
      <x:c r="C48" s="150" t="str">
        <x:v>Enzymes for novel PTMs including AMPylation and deamidation</x:v>
      </x:c>
      <x:c r="D48" s="151" t="str">
        <x:v>no substrate-site inventory</x:v>
      </x:c>
      <x:c r="E48" s="151" t="str">
        <x:v>LIVE_AGING</x:v>
      </x:c>
      <x:c r="F48" s="150" t="str">
        <x:v>Primary release is 2015</x:v>
      </x:c>
      <x:c r="G48" s="151" t="n">
        <x:v>2015</x:v>
      </x:c>
      <x:c r="H48" s="168" t="str"/>
      <x:c r="I48" s="150" t="str">
        <x:v>enzyme families and HMMs</x:v>
      </x:c>
      <x:c r="J48" s="168" t="str"/>
      <x:c r="K48" s="168" t="str"/>
      <x:c r="L48" s="168" t="str">
        <x:v>multiple</x:v>
      </x:c>
      <x:c r="M48" s="150" t="str"/>
      <x:c r="N48" s="152" t="str"/>
      <x:c r="O48" s="185" t="str">
        <x:v>https://academic.oup.com/database/article/doi/10.1093/database/bav039/2433171</x:v>
      </x:c>
      <x:c r="P48" s="150" t="str">
        <x:v>EXCLUDE_FROM_SITE_COVERAGE</x:v>
      </x:c>
      <x:c r="Q48" s="150" t="str">
        <x:v>Enzyme catalogs cannot establish experimentally observed modified residues.</x:v>
      </x:c>
    </x:row>
    <x:row r="49" ht="33" customHeight="1">
      <x:c r="A49" s="158" t="str">
        <x:v>dbPTM 2025</x:v>
      </x:c>
      <x:c r="B49" s="158" t="str">
        <x:v>general PTM integrator</x:v>
      </x:c>
      <x:c r="C49" s="158" t="str">
        <x:v>Broad cross-PTM sequence sites and annotations</x:v>
      </x:c>
      <x:c r="D49" s="159" t="str">
        <x:v>yes with evidence labels</x:v>
      </x:c>
      <x:c r="E49" s="159" t="str">
        <x:v>ACTIVE_MAINTAINED</x:v>
      </x:c>
      <x:c r="F49" s="158" t="str">
        <x:v>2025 primary update plus newer live official homepage count</x:v>
      </x:c>
      <x:c r="G49" s="159" t="str">
        <x:v>live homepage accessed 2026-08-14</x:v>
      </x:c>
      <x:c r="H49" s="170" t="n">
        <x:v>2845259</x:v>
      </x:c>
      <x:c r="I49" s="158" t="str">
        <x:v>experimental PTM site records</x:v>
      </x:c>
      <x:c r="J49" s="170" t="str"/>
      <x:c r="K49" s="170" t="n">
        <x:v>10200</x:v>
      </x:c>
      <x:c r="L49" s="170" t="n">
        <x:v>98</x:v>
      </x:c>
      <x:c r="M49" s="158" t="str">
        <x:v>The 2025 paper snapshot had 2243890 experimental plus 546551 putative sites = 2790441 total and integrated 48 data sources; the live homepage now reports 2845259 experimental sites</x:v>
      </x:c>
      <x:c r="N49" s="184" t="str">
        <x:v>https://biomics.lab.nycu.edu.tw/dbPTM/</x:v>
      </x:c>
      <x:c r="O49" s="184" t="str">
        <x:v>https://pmc.ncbi.nlm.nih.gov/articles/PMC11701562/</x:v>
      </x:c>
      <x:c r="P49" s="158" t="str">
        <x:v>GENERAL_BASELINE_NOT_DEDICATED_DB</x:v>
      </x:c>
      <x:c r="Q49" s="158" t="str">
        <x:v>Use to establish that a family has data when no dedicated DB exists; do not count as a dedicated family database. The live homepage count and fixed paper/statistics-table snapshot must not be mixed.</x:v>
      </x:c>
    </x:row>
    <x:row r="50" ht="33" customHeight="1">
      <x:c r="A50" s="150" t="str">
        <x:v>Arginylation Database</x:v>
      </x:c>
      <x:c r="B50" s="150" t="str">
        <x:v>dedicated site atlas/database</x:v>
      </x:c>
      <x:c r="C50" s="150" t="str">
        <x:v>ATE1-mediated human protein arginylation</x:v>
      </x:c>
      <x:c r="D50" s="151" t="str">
        <x:v>yes</x:v>
      </x:c>
      <x:c r="E50" s="151" t="str">
        <x:v>ACTIVE_ATLAS</x:v>
      </x:c>
      <x:c r="F50" s="150" t="str">
        <x:v>Current 2025 peer-reviewed experimental atlas with downloadable data; automated portal access was blocked during the 2026-08-14 audit</x:v>
      </x:c>
      <x:c r="G50" s="151" t="str">
        <x:v>2025 publication; endpoint checked 2026-08-14</x:v>
      </x:c>
      <x:c r="H50" s="168" t="n">
        <x:v>235</x:v>
      </x:c>
      <x:c r="I50" s="150" t="str">
        <x:v>unique arginylation sites</x:v>
      </x:c>
      <x:c r="J50" s="168" t="n">
        <x:v>165</x:v>
      </x:c>
      <x:c r="K50" s="168" t="str">
        <x:v>human</x:v>
      </x:c>
      <x:c r="L50" s="168" t="n">
        <x:v>1</x:v>
      </x:c>
      <x:c r="M50" s="150" t="str">
        <x:v>1876 isotopically labelled pairs across 16 human samples; 97 percent N-terminal and 3 percent side-chain sites</x:v>
      </x:c>
      <x:c r="N50" s="185" t="str">
        <x:v>https://www.arginylation.com/</x:v>
      </x:c>
      <x:c r="O50" s="185" t="str">
        <x:v>https://pmc.ncbi.nlm.nih.gov/articles/PMC12643917/</x:v>
      </x:c>
      <x:c r="P50" s="150" t="str">
        <x:v>INCLUDE_CURRENT_EXPERIMENTAL_SITE_ATLAS</x:v>
      </x:c>
      <x:c r="Q50" s="150" t="str">
        <x:v>Current atlas and downloadable data substantiate 235 unique human sites; automated endpoint access control is retained as a caveat. Sites are ex-vivo ATE1-installed, not a census of endogenous in-vivo arginylation.</x:v>
      </x:c>
    </x:row>
    <x:row r="51" ht="33" customHeight="1">
      <x:c r="A51" s="158" t="str">
        <x:v>CaspSites</x:v>
      </x:c>
      <x:c r="B51" s="158" t="str">
        <x:v>dedicated experimental site database</x:v>
      </x:c>
      <x:c r="C51" s="158" t="str">
        <x:v>Human caspase-generated proteolytic cleavage sites</x:v>
      </x:c>
      <x:c r="D51" s="159" t="str">
        <x:v>yes</x:v>
      </x:c>
      <x:c r="E51" s="159" t="str">
        <x:v>ACTIVE_MAINTAINED</x:v>
      </x:c>
      <x:c r="F51" s="158" t="str">
        <x:v>Live public database and export were audited directly on 2026-08-14</x:v>
      </x:c>
      <x:c r="G51" s="159" t="str">
        <x:v>live dataset audited 2026-08-14</x:v>
      </x:c>
      <x:c r="H51" s="170" t="n">
        <x:v>3031</x:v>
      </x:c>
      <x:c r="I51" s="158" t="str">
        <x:v>unique P1-Asp cleavage sites</x:v>
      </x:c>
      <x:c r="J51" s="170" t="n">
        <x:v>2022</x:v>
      </x:c>
      <x:c r="K51" s="170" t="str">
        <x:v>human</x:v>
      </x:c>
      <x:c r="L51" s="170" t="str">
        <x:v>proteolysis subtype</x:v>
      </x:c>
      <x:c r="M51" s="158" t="str">
        <x:v>44398 observation rows; 13518 unique accession-position pairs overall</x:v>
      </x:c>
      <x:c r="N51" s="184" t="str">
        <x:v>https://www.caspsites.org/about/</x:v>
      </x:c>
      <x:c r="O51" s="184" t="str">
        <x:v>https://www.caspsites.org/about/</x:v>
      </x:c>
      <x:c r="P51" s="158" t="str">
        <x:v>INCLUDE_CURRENT_DEDICATED_SITE_DB</x:v>
      </x:c>
      <x:c r="Q51" s="158" t="str">
        <x:v>The grant-safe 3031 count requires P1 = Asp; it is a caspase subset of proteolytic processing.</x:v>
      </x:c>
    </x:row>
    <x:row r="52" ht="33" customHeight="1">
      <x:c r="A52" s="150" t="str">
        <x:v>MEROPS release 12.5</x:v>
      </x:c>
      <x:c r="B52" s="150" t="str">
        <x:v>dedicated protease and cleavage-relation database</x:v>
      </x:c>
      <x:c r="C52" s="150" t="str">
        <x:v>Proteases substrates and cleavage relations</x:v>
      </x:c>
      <x:c r="D52" s="151" t="str">
        <x:v>mixed</x:v>
      </x:c>
      <x:c r="E52" s="151" t="str">
        <x:v>LIVE_AGING</x:v>
      </x:c>
      <x:c r="F52" s="150" t="str">
        <x:v>Official portal is live; latest identified database release is 12.5 from 2023-09-08</x:v>
      </x:c>
      <x:c r="G52" s="151" t="str">
        <x:v>2023-09-08 release; accessed 2026-08-14</x:v>
      </x:c>
      <x:c r="H52" s="168" t="n">
        <x:v>11347</x:v>
      </x:c>
      <x:c r="I52" s="150" t="str">
        <x:v>physiological cleavage records</x:v>
      </x:c>
      <x:c r="J52" s="168" t="str"/>
      <x:c r="K52" s="168" t="str">
        <x:v>multiple</x:v>
      </x:c>
      <x:c r="L52" s="168" t="str">
        <x:v>proteolytic cleavage</x:v>
      </x:c>
      <x:c r="M52" s="150" t="str">
        <x:v>126409 total cleavage records = 11347 physiological + 115062 nonphysiological records</x:v>
      </x:c>
      <x:c r="N52" s="185" t="str">
        <x:v>https://www.ebi.ac.uk/merops/whatsnew.shtml</x:v>
      </x:c>
      <x:c r="O52" s="185" t="str">
        <x:v>https://www.ebi.ac.uk/merops/cgi-bin/substrate_count?action=G</x:v>
      </x:c>
      <x:c r="P52" s="150" t="str">
        <x:v>INCLUDE_LIVE_AGING_DEDICATED_RELATION_DB</x:v>
      </x:c>
      <x:c r="Q52" s="150" t="str">
        <x:v>Counts are audit-derived sums across official family tables; relations are not necessarily unique residue sites and the total includes artificial assay contexts.</x:v>
      </x:c>
    </x:row>
    <x:row r="53" ht="33" customHeight="1">
      <x:c r="A53" s="158" t="str">
        <x:v>CutDB</x:v>
      </x:c>
      <x:c r="B53" s="158" t="str">
        <x:v>dedicated protease-substrate-site database</x:v>
      </x:c>
      <x:c r="C53" s="158" t="str">
        <x:v>Experimentally observed proteolytic cleavage events</x:v>
      </x:c>
      <x:c r="D53" s="159" t="str">
        <x:v>yes</x:v>
      </x:c>
      <x:c r="E53" s="159" t="str">
        <x:v>UNAVAILABLE</x:v>
      </x:c>
      <x:c r="F53" s="158" t="str">
        <x:v>Historical database endpoint is unavailable; the 2014 primary update preserves a filtered direct-evidence snapshot</x:v>
      </x:c>
      <x:c r="G53" s="159" t="str">
        <x:v>2014 filtered snapshot</x:v>
      </x:c>
      <x:c r="H53" s="170" t="n">
        <x:v>4576</x:v>
      </x:c>
      <x:c r="I53" s="158" t="str">
        <x:v>unique cleavage positions</x:v>
      </x:c>
      <x:c r="J53" s="170" t="n">
        <x:v>2062</x:v>
      </x:c>
      <x:c r="K53" s="170" t="str">
        <x:v>multiple</x:v>
      </x:c>
      <x:c r="L53" s="170" t="str">
        <x:v>proteolytic cleavage</x:v>
      </x:c>
      <x:c r="M53" s="158" t="str">
        <x:v>5704 experimentally observed cleavage events in the direct filtered extract</x:v>
      </x:c>
      <x:c r="N53" s="160" t="str"/>
      <x:c r="O53" s="184" t="str">
        <x:v>https://pmc.ncbi.nlm.nih.gov/articles/PMC3926948/</x:v>
      </x:c>
      <x:c r="P53" s="158" t="str">
        <x:v>HISTORICAL_ONLY_UNAVAILABLE</x:v>
      </x:c>
      <x:c r="Q53" s="158" t="str">
        <x:v>Filter-specific historical snapshot; do not add event and unique-position counts.</x:v>
      </x:c>
    </x:row>
    <x:row r="54" ht="33" customHeight="1">
      <x:c r="A54" s="150" t="str">
        <x:v>TRANSIT</x:v>
      </x:c>
      <x:c r="B54" s="150" t="str">
        <x:v>dedicated transglutaminase site resource plus predictor</x:v>
      </x:c>
      <x:c r="C54" s="150" t="str">
        <x:v>Transglutaminase-mediated non-tag isopeptide links and monoamine-conjugation context</x:v>
      </x:c>
      <x:c r="D54" s="151" t="str">
        <x:v>yes where experimentally reported</x:v>
      </x:c>
      <x:c r="E54" s="151" t="str">
        <x:v>UNAVAILABLE</x:v>
      </x:c>
      <x:c r="F54" s="150" t="str">
        <x:v>Original server is unavailable; latest documented update was 2008</x:v>
      </x:c>
      <x:c r="G54" s="151" t="n">
        <x:v>2008</x:v>
      </x:c>
      <x:c r="H54" s="168" t="n">
        <x:v>115</x:v>
      </x:c>
      <x:c r="I54" s="150" t="str">
        <x:v>reported transglutaminase sites or entries</x:v>
      </x:c>
      <x:c r="J54" s="168" t="str"/>
      <x:c r="K54" s="168" t="str">
        <x:v>multiple</x:v>
      </x:c>
      <x:c r="L54" s="168" t="str">
        <x:v>transglutamination</x:v>
      </x:c>
      <x:c r="M54" s="150" t="str">
        <x:v>Experimental active substrate regions were combined with similarity search and prediction</x:v>
      </x:c>
      <x:c r="N54" s="152" t="str"/>
      <x:c r="O54" s="185" t="str">
        <x:v>https://pmc.ncbi.nlm.nih.gov/articles/PMC2242420/</x:v>
      </x:c>
      <x:c r="P54" s="150" t="str">
        <x:v>HISTORICAL_ONLY_UNAVAILABLE</x:v>
      </x:c>
      <x:c r="Q54" s="150" t="str">
        <x:v>The published headline does not cleanly distinguish unique sites from entries; report the unit exactly as sites or entries.</x:v>
      </x:c>
    </x:row>
    <x:row r="55" ht="33" customHeight="1">
      <x:c r="A55" s="158" t="str">
        <x:v>DSDBASE 2.0</x:v>
      </x:c>
      <x:c r="B55" s="158" t="str">
        <x:v>structural disulfide database</x:v>
      </x:c>
      <x:c r="C55" s="158" t="str">
        <x:v>Native and modelled disulfide-bond segments derived from PDB structures</x:v>
      </x:c>
      <x:c r="D55" s="159" t="str">
        <x:v>structural for native subset; predicted for modelled candidates</x:v>
      </x:c>
      <x:c r="E55" s="159" t="str">
        <x:v>UNAVAILABLE</x:v>
      </x:c>
      <x:c r="F55" s="158" t="str">
        <x:v>The documented v2 server is unavailable; paper used a January 2021 PDB snapshot</x:v>
      </x:c>
      <x:c r="G55" s="159" t="str">
        <x:v>2021-01 PDB snapshot; 2022 paper</x:v>
      </x:c>
      <x:c r="H55" s="170" t="n">
        <x:v>216096</x:v>
      </x:c>
      <x:c r="I55" s="158" t="str">
        <x:v>native PDB disulfide-bond segments</x:v>
      </x:c>
      <x:c r="J55" s="170" t="str"/>
      <x:c r="K55" s="170" t="str">
        <x:v>multiple</x:v>
      </x:c>
      <x:c r="L55" s="170" t="str">
        <x:v>disulfide formation</x:v>
      </x:c>
      <x:c r="M55" s="158" t="str">
        <x:v>20153850 modelled possible disulfide-bond segments</x:v>
      </x:c>
      <x:c r="N55" s="160" t="str"/>
      <x:c r="O55" s="184" t="str">
        <x:v>https://pmc.ncbi.nlm.nih.gov/articles/PMC9216586/</x:v>
      </x:c>
      <x:c r="P55" s="158" t="str">
        <x:v>HISTORICAL_STRUCTURAL_ONLY_UNAVAILABLE</x:v>
      </x:c>
      <x:c r="Q55" s="158" t="str">
        <x:v>Native structural segments are not curated functional PTM effects; modelled candidates are not experimental observations.</x:v>
      </x:c>
    </x:row>
    <x:row r="56" ht="33" customHeight="1">
      <x:c r="A56" s="150" t="str">
        <x:v>InBase 2.0 beta</x:v>
      </x:c>
      <x:c r="B56" s="150" t="str">
        <x:v>dedicated intein registry</x:v>
      </x:c>
      <x:c r="C56" s="150" t="str">
        <x:v>Protein splicing elements and insertion positions</x:v>
      </x:c>
      <x:c r="D56" s="151" t="str">
        <x:v>mixed experimental submitted and unassigned</x:v>
      </x:c>
      <x:c r="E56" s="151" t="str">
        <x:v>LIVE_STATIC</x:v>
      </x:c>
      <x:c r="F56" s="150" t="str">
        <x:v>The beta site responds and dynamically labels 1119 sequences on 2026-08-14, but the host explicitly describes it as not maintained</x:v>
      </x:c>
      <x:c r="G56" s="151" t="str">
        <x:v>page generated 2026-08-14; maintenance status legacy</x:v>
      </x:c>
      <x:c r="H56" s="168" t="n">
        <x:v>1119</x:v>
      </x:c>
      <x:c r="I56" s="150" t="str">
        <x:v>intein sequence records</x:v>
      </x:c>
      <x:c r="J56" s="168" t="str"/>
      <x:c r="K56" s="168" t="str">
        <x:v>multiple</x:v>
      </x:c>
      <x:c r="L56" s="168" t="str">
        <x:v>protein splicing</x:v>
      </x:c>
      <x:c r="M56" s="150" t="str">
        <x:v>Status chart is dominated by submitted/unassigned records; the preserved old InBase snapshot contains 585 inteins</x:v>
      </x:c>
      <x:c r="N56" s="185" t="str">
        <x:v>https://inbase.ligsciss.com/index.php?r=site%2Findex</x:v>
      </x:c>
      <x:c r="O56" s="185" t="str">
        <x:v>https://inbase.ligsciss.com/iwai/</x:v>
      </x:c>
      <x:c r="P56" s="150" t="str">
        <x:v>INCLUDE_LIVE_STATIC_MIXED_EVIDENCE_DB</x:v>
      </x:c>
      <x:c r="Q56" s="150" t="str">
        <x:v>A sequence-registry count is not an experimentally observed splicing-event or residue-site count.</x:v>
      </x:c>
    </x:row>
    <x:row r="57" ht="33" customHeight="1">
      <x:c r="A57" s="158" t="str">
        <x:v>VPTMdb</x:v>
      </x:c>
      <x:c r="B57" s="158" t="str">
        <x:v>dedicated narrow multi-family viral PTM database</x:v>
      </x:c>
      <x:c r="C57" s="158" t="str">
        <x:v>Eight PTM classes across human viruses</x:v>
      </x:c>
      <x:c r="D57" s="159" t="str">
        <x:v>mixed manual and imported evidence</x:v>
      </x:c>
      <x:c r="E57" s="159" t="str">
        <x:v>LIVE_AGING</x:v>
      </x:c>
      <x:c r="F57" s="158" t="str">
        <x:v>Portal is reported live, but data cutoff preceded 2020 and no newer substantive release was identified</x:v>
      </x:c>
      <x:c r="G57" s="159" t="str">
        <x:v>data cutoff before 2020-01-01; paper 2020</x:v>
      </x:c>
      <x:c r="H57" s="170" t="n">
        <x:v>818</x:v>
      </x:c>
      <x:c r="I57" s="158" t="str">
        <x:v>manually checked experimental viral PTM sites</x:v>
      </x:c>
      <x:c r="J57" s="170" t="str"/>
      <x:c r="K57" s="170" t="str">
        <x:v>43 human viruses</x:v>
      </x:c>
      <x:c r="L57" s="170" t="n">
        <x:v>8</x:v>
      </x:c>
      <x:c r="M57" s="158" t="str">
        <x:v>1240 unique viral PTM sites total = 818 manual experimental + 422 UniProtKB/Swiss-Prot-derived sites</x:v>
      </x:c>
      <x:c r="N57" s="160" t="str"/>
      <x:c r="O57" s="184" t="str">
        <x:v>https://academic.oup.com/bib/article/22/4/bbaa251/5935500</x:v>
      </x:c>
      <x:c r="P57" s="158" t="str">
        <x:v>INCLUDE_LIVE_AGING_NARROW_MULTI_FAMILY_SITE_DB</x:v>
      </x:c>
      <x:c r="Q57" s="158" t="str">
        <x:v>Keep the embedded VPTMpre predictor and imported UniProt sites separate from the 818 manually checked sites.</x:v>
      </x:c>
    </x:row>
    <x:row r="58" ht="33" customHeight="1">
      <x:c r="A58" s="150" t="str">
        <x:v>Ubitome</x:v>
      </x:c>
      <x:c r="B58" s="150" t="str">
        <x:v>dedicated site database</x:v>
      </x:c>
      <x:c r="C58" s="150" t="str">
        <x:v>Protein ubiquitination sites</x:v>
      </x:c>
      <x:c r="D58" s="151" t="str">
        <x:v>yes</x:v>
      </x:c>
      <x:c r="E58" s="151" t="str">
        <x:v>LIVE_AGING</x:v>
      </x:c>
      <x:c r="F58" s="150" t="str">
        <x:v>Bulk data remain downloadable, but files are dated 2021-04 and the host had an expired TLS certificate at access</x:v>
      </x:c>
      <x:c r="G58" s="151" t="str">
        <x:v>2021-04 files; accessed 2026-08-14</x:v>
      </x:c>
      <x:c r="H58" s="168" t="n">
        <x:v>16622</x:v>
      </x:c>
      <x:c r="I58" s="150" t="str">
        <x:v>ubiquitination sites</x:v>
      </x:c>
      <x:c r="J58" s="168" t="n">
        <x:v>4807</x:v>
      </x:c>
      <x:c r="K58" s="168" t="str">
        <x:v>multiple</x:v>
      </x:c>
      <x:c r="L58" s="168" t="n">
        <x:v>1</x:v>
      </x:c>
      <x:c r="M58" s="150" t="str">
        <x:v>Exact counts from downloaded files</x:v>
      </x:c>
      <x:c r="N58" s="185" t="str">
        <x:v>https://ubitome.erc.monash.edu.au/</x:v>
      </x:c>
      <x:c r="O58" s="185" t="str">
        <x:v>https://ubitome.erc.monash.edu.au/</x:v>
      </x:c>
      <x:c r="P58" s="150" t="str">
        <x:v>INCLUDE_LIVE_AGING_DEDICATED_SITE_DB</x:v>
      </x:c>
      <x:c r="Q58" s="150" t="str">
        <x:v>CPLM and the current PTMeXchange human build provide newer evidence; do not add overlapping site counts.</x:v>
      </x:c>
    </x:row>
    <x:row r="59" ht="33" customHeight="1">
      <x:c r="A59" s="158" t="str">
        <x:v>Human SUMO PeptideAtlas/PTMeXchange</x:v>
      </x:c>
      <x:c r="B59" s="158" t="str">
        <x:v>dedicated experimental evidence build</x:v>
      </x:c>
      <x:c r="C59" s="158" t="str">
        <x:v>Human SUMOylation</x:v>
      </x:c>
      <x:c r="D59" s="159" t="str">
        <x:v>yes</x:v>
      </x:c>
      <x:c r="E59" s="159" t="str">
        <x:v>ACTIVE_ATLAS</x:v>
      </x:c>
      <x:c r="F59" s="158" t="str">
        <x:v>Current evidence build with peer-reviewed 2026 publication and public site-level access</x:v>
      </x:c>
      <x:c r="G59" s="159" t="str">
        <x:v>build 2025-02; paper 2026</x:v>
      </x:c>
      <x:c r="H59" s="170" t="n">
        <x:v>35721</x:v>
      </x:c>
      <x:c r="I59" s="158" t="str">
        <x:v>SUMOylation sites passing less than 5 percent FLR in at least one dataset</x:v>
      </x:c>
      <x:c r="J59" s="170" t="n">
        <x:v>6146</x:v>
      </x:c>
      <x:c r="K59" s="170" t="str">
        <x:v>human</x:v>
      </x:c>
      <x:c r="L59" s="170" t="n">
        <x:v>1</x:v>
      </x:c>
      <x:c r="M59" s="158" t="str">
        <x:v>USI-traceable evidence; build-specific threshold</x:v>
      </x:c>
      <x:c r="N59" s="184" t="str">
        <x:v>https://www.proteomexchange.org/ptmexchange/index.html</x:v>
      </x:c>
      <x:c r="O59" s="184" t="str">
        <x:v>https://www.sciencedirect.com/science/article/pii/S1535947626000678</x:v>
      </x:c>
      <x:c r="P59" s="158" t="str">
        <x:v>INCLUDE_CURRENT_SITE_ATLAS_NOT_INDEPENDENT_DB</x:v>
      </x:c>
      <x:c r="Q59" s="158" t="str">
        <x:v>Evidence atlas rather than manual functional-effect curation; overlaps CPLM and other sources.</x:v>
      </x:c>
    </x:row>
    <x:row r="60" ht="33" customHeight="1">
      <x:c r="A60" s="150" t="str">
        <x:v>Human Ubiquitination PeptideAtlas/PTMeXchange</x:v>
      </x:c>
      <x:c r="B60" s="150" t="str">
        <x:v>dedicated experimental evidence build</x:v>
      </x:c>
      <x:c r="C60" s="150" t="str">
        <x:v>Human ubiquitination</x:v>
      </x:c>
      <x:c r="D60" s="151" t="str">
        <x:v>yes</x:v>
      </x:c>
      <x:c r="E60" s="151" t="str">
        <x:v>ACTIVE_ATLAS</x:v>
      </x:c>
      <x:c r="F60" s="150" t="str">
        <x:v>Official build file was publicly released in 2026 and audited directly</x:v>
      </x:c>
      <x:c r="G60" s="151" t="str">
        <x:v>build 2025-11; public release 2026-04-01</x:v>
      </x:c>
      <x:c r="H60" s="168" t="n">
        <x:v>115447</x:v>
      </x:c>
      <x:c r="I60" s="150" t="str">
        <x:v>unique protein-position-residue target site rows</x:v>
      </x:c>
      <x:c r="J60" s="168" t="str"/>
      <x:c r="K60" s="168" t="str">
        <x:v>human</x:v>
      </x:c>
      <x:c r="L60" s="168" t="n">
        <x:v>1</x:v>
      </x:c>
      <x:c r="M60" s="150" t="str">
        <x:v>44191 Gold-tier + 37451 Silver-tier + 33805 Bronze-tier target sites; 7498 alanine decoy rows excluded</x:v>
      </x:c>
      <x:c r="N60" s="185" t="str">
        <x:v>https://www.proteomexchange.org/ptmexchange/index.html</x:v>
      </x:c>
      <x:c r="O60" s="185" t="str">
        <x:v>https://www.proteomexchange.org/ptmexchange/Files/Human_GSB_Ubiq_all_prots_1106.csv.gz</x:v>
      </x:c>
      <x:c r="P60" s="150" t="str">
        <x:v>INCLUDE_CURRENT_SITE_ATLAS_NOT_INDEPENDENT_DB</x:v>
      </x:c>
      <x:c r="Q60" s="150" t="str">
        <x:v>Exact audit-derived target-row count from the official file; evidence atlas rather than curated functional effects.</x:v>
      </x:c>
    </x:row>
    <x:row r="61" ht="33" customHeight="1">
      <x:c r="A61" s="158" t="str">
        <x:v>Plant PTM Viewer 2.0</x:v>
      </x:c>
      <x:c r="B61" s="158" t="str">
        <x:v>current narrow multi-family experimental site database</x:v>
      </x:c>
      <x:c r="C61" s="158" t="str">
        <x:v>33 plant PTM types across eight species, including rare modifications</x:v>
      </x:c>
      <x:c r="D61" s="159" t="str">
        <x:v>yes</x:v>
      </x:c>
      <x:c r="E61" s="159" t="str">
        <x:v>ACTIVE_MAINTAINED</x:v>
      </x:c>
      <x:c r="F61" s="158" t="str">
        <x:v>Live official browse/API and 2024 substantive release integrating 167 publications</x:v>
      </x:c>
      <x:c r="G61" s="159" t="str">
        <x:v>2024-06-14 release; API audited 2026-08-14</x:v>
      </x:c>
      <x:c r="H61" s="170" t="n">
        <x:v>112000</x:v>
      </x:c>
      <x:c r="I61" s="158" t="str">
        <x:v>new modified peptides added in v2.0</x:v>
      </x:c>
      <x:c r="J61" s="170" t="str"/>
      <x:c r="K61" s="170" t="n">
        <x:v>8</x:v>
      </x:c>
      <x:c r="L61" s="170" t="n">
        <x:v>33</x:v>
      </x:c>
      <x:c r="M61" s="158" t="str">
        <x:v>Approximately 127000 modified peptides in v1 plus 112000 added; live EPG filter returns 9 protein-isoform site rows and MAR filter 50</x:v>
      </x:c>
      <x:c r="N61" s="184" t="str">
        <x:v>https://www.psb.ugent.be/PlantPTMViewer</x:v>
      </x:c>
      <x:c r="O61" s="184" t="str">
        <x:v>https://academic.oup.com/jxb/article/75/15/4611/7693187</x:v>
      </x:c>
      <x:c r="P61" s="158" t="str">
        <x:v>INCLUDE_CURRENT_NARROW_MULTI_FAMILY_SITE_DB</x:v>
      </x:c>
      <x:c r="Q61" s="158" t="str">
        <x:v>Counts are modified-peptide/site rows, not functional-effect annotations. Total is approximately 239000 because both component counts are reported rounded.</x:v>
      </x:c>
    </x:row>
    <x:row r="62" ht="33" customHeight="1">
      <x:c r="A62" s="150" t="str">
        <x:v>APD6</x:v>
      </x:c>
      <x:c r="B62" s="150" t="str">
        <x:v>current antimicrobial peptide database</x:v>
      </x:c>
      <x:c r="C62" s="150" t="str">
        <x:v>Natural and synthetic antimicrobial peptides; C-terminal amidation subset</x:v>
      </x:c>
      <x:c r="D62" s="151" t="str">
        <x:v>yes for terminal amidation state</x:v>
      </x:c>
      <x:c r="E62" s="151" t="str">
        <x:v>ACTIVE_MAINTAINED</x:v>
      </x:c>
      <x:c r="F62" s="150" t="str">
        <x:v>Current APD6 release and live portal; narrow peptide scope</x:v>
      </x:c>
      <x:c r="G62" s="151" t="str">
        <x:v>2025-03-27 table snapshot</x:v>
      </x:c>
      <x:c r="H62" s="168" t="n">
        <x:v>675</x:v>
      </x:c>
      <x:c r="I62" s="150" t="str">
        <x:v>natural amidated antimicrobial-peptide entries</x:v>
      </x:c>
      <x:c r="J62" s="168" t="str"/>
      <x:c r="K62" s="168" t="str">
        <x:v>multiple</x:v>
      </x:c>
      <x:c r="L62" s="168" t="str">
        <x:v>amidation partial</x:v>
      </x:c>
      <x:c r="M62" s="150" t="str">
        <x:v>1279 total amidated entries including synthetic records</x:v>
      </x:c>
      <x:c r="N62" s="185" t="str">
        <x:v>https://aps.unmc.edu/</x:v>
      </x:c>
      <x:c r="O62" s="185" t="str">
        <x:v>https://academic.oup.com/nar/article/54/D1/D363/8250474</x:v>
      </x:c>
      <x:c r="P62" s="150" t="str">
        <x:v>INCLUDE_CURRENT_NARROW_PARTIAL_RESOURCE</x:v>
      </x:c>
      <x:c r="Q62" s="150" t="str">
        <x:v>Natural entries only are used for the family count; not a proteome-wide residue-site database.</x:v>
      </x:c>
    </x:row>
    <x:row r="63" ht="33" customHeight="1">
      <x:c r="A63" s="158" t="str">
        <x:v>NIH Database of Carbamylated Proteins in the Renal Inner Medulla</x:v>
      </x:c>
      <x:c r="B63" s="158" t="str">
        <x:v>dedicated experimental site database</x:v>
      </x:c>
      <x:c r="C63" s="158" t="str">
        <x:v>Rat renal inner-medulla protein carbamylation</x:v>
      </x:c>
      <x:c r="D63" s="159" t="str">
        <x:v>yes</x:v>
      </x:c>
      <x:c r="E63" s="159" t="str">
        <x:v>LIVE_AGING</x:v>
      </x:c>
      <x:c r="F63" s="158" t="str">
        <x:v>Official table remains live, but substantive experimental dataset is from 2013 and tissue/species restricted</x:v>
      </x:c>
      <x:c r="G63" s="159" t="str">
        <x:v>2013 study; page checked 2026-08-14</x:v>
      </x:c>
      <x:c r="H63" s="170" t="n">
        <x:v>456</x:v>
      </x:c>
      <x:c r="I63" s="158" t="str">
        <x:v>unique carbamylated sites</x:v>
      </x:c>
      <x:c r="J63" s="170" t="str"/>
      <x:c r="K63" s="170" t="str">
        <x:v>rat</x:v>
      </x:c>
      <x:c r="L63" s="170" t="n">
        <x:v>1</x:v>
      </x:c>
      <x:c r="M63" s="158" t="str">
        <x:v>Manual spectrum review with confident and ambiguous site labels</x:v>
      </x:c>
      <x:c r="N63" s="184" t="str">
        <x:v>https://esbl.nhlbi.nih.gov/helixweb/Database/Carbamylation/Carbamylation_peptide_sorted.html</x:v>
      </x:c>
      <x:c r="O63" s="184" t="str">
        <x:v>https://esbl.nhlbi.nih.gov/helixweb/Database/Carbamylation/Carbamylation_peptide_sorted.html</x:v>
      </x:c>
      <x:c r="P63" s="158" t="str">
        <x:v>INCLUDE_LIVE_AGING_DEDICATED_SITE_DB</x:v>
      </x:c>
      <x:c r="Q63" s="158" t="str">
        <x:v>Do not generalize the tissue-restricted count to a cross-species carbamylome.</x:v>
      </x:c>
    </x:row>
    <x:row r="64" ht="33" customHeight="1">
      <x:c r="A64" s="150" t="str">
        <x:v>TubulinDB</x:v>
      </x:c>
      <x:c r="B64" s="150" t="str">
        <x:v>narrow tubulin PTM resource</x:v>
      </x:c>
      <x:c r="C64" s="150" t="str">
        <x:v>Tubulin sequences and PTMs including re-tyrosination</x:v>
      </x:c>
      <x:c r="D64" s="151" t="str">
        <x:v>mixed</x:v>
      </x:c>
      <x:c r="E64" s="151" t="str">
        <x:v>UNAVAILABLE</x:v>
      </x:c>
      <x:c r="F64" s="150" t="str">
        <x:v>2023 database paper; official endpoint unavailable during 2026-08-14 audit</x:v>
      </x:c>
      <x:c r="G64" s="151" t="str">
        <x:v>2023 publication; endpoint checked 2026-08-14</x:v>
      </x:c>
      <x:c r="H64" s="168" t="n">
        <x:v>18000</x:v>
      </x:c>
      <x:c r="I64" s="150" t="str">
        <x:v>approximately mixed tubulin entries</x:v>
      </x:c>
      <x:c r="J64" s="168" t="str"/>
      <x:c r="K64" s="168" t="str">
        <x:v>multiple</x:v>
      </x:c>
      <x:c r="L64" s="168" t="str">
        <x:v>multiple tubulin PTMs</x:v>
      </x:c>
      <x:c r="M64" s="150" t="str">
        <x:v>No source-supported tyrosination-only total</x:v>
      </x:c>
      <x:c r="N64" s="152" t="str"/>
      <x:c r="O64" s="185" t="str">
        <x:v>https://journals.plos.org/plosone/article?id=10.1371/journal.pone.0295279</x:v>
      </x:c>
      <x:c r="P64" s="150" t="str">
        <x:v>HISTORICAL_ONLY_NO_CURRENT_DB</x:v>
      </x:c>
      <x:c r="Q64" s="150" t="str">
        <x:v>Mixed entry total is not a tyrosination site count.</x:v>
      </x:c>
    </x:row>
    <x:row r="65" ht="33" customHeight="1">
      <x:c r="A65" s="158" t="str">
        <x:v>Isopeptor open atlas</x:v>
      </x:c>
      <x:c r="B65" s="158" t="str">
        <x:v>current experimental structural site atlas</x:v>
      </x:c>
      <x:c r="C65" s="158" t="str">
        <x:v>Natural intramolecular CnaA/CnaB isopeptide bonds</x:v>
      </x:c>
      <x:c r="D65" s="159" t="str">
        <x:v>yes; PDB-resolved</x:v>
      </x:c>
      <x:c r="E65" s="159" t="str">
        <x:v>ACTIVE_ATLAS</x:v>
      </x:c>
      <x:c r="F65" s="158" t="str">
        <x:v>Recent open primary atlas and row-audited dataset; no recurring database-maintenance claim</x:v>
      </x:c>
      <x:c r="G65" s="159" t="str">
        <x:v>2024-12-09 dataset</x:v>
      </x:c>
      <x:c r="H65" s="170" t="n">
        <x:v>193</x:v>
      </x:c>
      <x:c r="I65" s="158" t="str">
        <x:v>non-mutant natural structure-chain isopeptide-bond rows</x:v>
      </x:c>
      <x:c r="J65" s="170" t="str"/>
      <x:c r="K65" s="170" t="str"/>
      <x:c r="L65" s="170" t="n">
        <x:v>1</x:v>
      </x:c>
      <x:c r="M65" s="158" t="str">
        <x:v>99 PDB entries; 198 bonded rows across 101 PDBs if five mutant rows are included</x:v>
      </x:c>
      <x:c r="N65" s="184" t="str">
        <x:v>https://github.com/FranceCosta/Isopeptor_development</x:v>
      </x:c>
      <x:c r="O65" s="184" t="str">
        <x:v>https://pmc.ncbi.nlm.nih.gov/articles/PMC11919812/</x:v>
      </x:c>
      <x:c r="P65" s="158" t="str">
        <x:v>INCLUDE_CURRENT_EXPERIMENTAL_ATLAS</x:v>
      </x:c>
      <x:c r="Q65" s="158" t="str">
        <x:v>Row count is not a globally deduplicated residue-pair count.</x:v>
      </x:c>
    </x:row>
    <x:row r="66" ht="33" customHeight="1">
      <x:c r="A66" s="150" t="str">
        <x:v>PyDISH</x:v>
      </x:c>
      <x:c r="B66" s="150" t="str">
        <x:v>active structural heme-protein relation database</x:v>
      </x:c>
      <x:c r="C66" s="150" t="str">
        <x:v>Heme-protein structures and ligand residues</x:v>
      </x:c>
      <x:c r="D66" s="151" t="str">
        <x:v>structural; no exact covalent-site subset</x:v>
      </x:c>
      <x:c r="E66" s="151" t="str">
        <x:v>ACTIVE_MIXED</x:v>
      </x:c>
      <x:c r="F66" s="150" t="str">
        <x:v>Live official data page; current structural resource</x:v>
      </x:c>
      <x:c r="G66" s="151" t="str">
        <x:v>live page audited 2026-08-14</x:v>
      </x:c>
      <x:c r="H66" s="168" t="n">
        <x:v>20590</x:v>
      </x:c>
      <x:c r="I66" s="150" t="str">
        <x:v>heme-protein structure entries</x:v>
      </x:c>
      <x:c r="J66" s="168" t="str"/>
      <x:c r="K66" s="168" t="str"/>
      <x:c r="L66" s="168" t="str">
        <x:v>heme structural</x:v>
      </x:c>
      <x:c r="M66" s="150" t="str">
        <x:v>7582 PDB entries; no exact covalent-attachment subset</x:v>
      </x:c>
      <x:c r="N66" s="185" t="str">
        <x:v>https://pydish.bio.info.hiroshima-cu.ac.jp/data/</x:v>
      </x:c>
      <x:c r="O66" s="185" t="str">
        <x:v>https://pydish.bio.info.hiroshima-cu.ac.jp/data/</x:v>
      </x:c>
      <x:c r="P66" s="150" t="str">
        <x:v>EXCLUDE_FROM_STRICT_COVALENT_SITE_COUNT</x:v>
      </x:c>
      <x:c r="Q66" s="150" t="str">
        <x:v>Chemically relevant structural context, not a dedicated covalent PTM-site inventory.</x:v>
      </x:c>
    </x:row>
    <x:row r="67" ht="33" customHeight="1">
      <x:c r="A67" s="158" t="str">
        <x:v>FPbase</x:v>
      </x:c>
      <x:c r="B67" s="158" t="str">
        <x:v>active fluorescent-protein property database</x:v>
      </x:c>
      <x:c r="C67" s="158" t="str">
        <x:v>Fluorescent proteins and spectra</x:v>
      </x:c>
      <x:c r="D67" s="159" t="str">
        <x:v>protein-level, not site evidence</x:v>
      </x:c>
      <x:c r="E67" s="159" t="str">
        <x:v>ACTIVE_MIXED</x:v>
      </x:c>
      <x:c r="F67" s="158" t="str">
        <x:v>Live maintained portal</x:v>
      </x:c>
      <x:c r="G67" s="159" t="str">
        <x:v>live page audited 2026-08-14</x:v>
      </x:c>
      <x:c r="H67" s="170" t="n">
        <x:v>1042</x:v>
      </x:c>
      <x:c r="I67" s="158" t="str">
        <x:v>fluorescent protein records</x:v>
      </x:c>
      <x:c r="J67" s="170" t="str"/>
      <x:c r="K67" s="170" t="str"/>
      <x:c r="L67" s="170" t="str">
        <x:v>chromophore broad</x:v>
      </x:c>
      <x:c r="M67" s="158" t="str">
        <x:v>3113 spectra</x:v>
      </x:c>
      <x:c r="N67" s="184" t="str">
        <x:v>https://www.fpbase.org/</x:v>
      </x:c>
      <x:c r="O67" s="184" t="str">
        <x:v>https://www.fpbase.org/about/</x:v>
      </x:c>
      <x:c r="P67" s="158" t="str">
        <x:v>EXCLUDE_FROM_STRICT_EXPERIMENTAL_SITE_ROSTER</x:v>
      </x:c>
      <x:c r="Q67" s="158" t="str">
        <x:v>Protein/property records are not chromophore-formation residue sites.</x:v>
      </x:c>
    </x:row>
    <x:row r="68" ht="33" customHeight="1">
      <x:c r="A68" s="150" t="str">
        <x:v>DOLOP</x:v>
      </x:c>
      <x:c r="B68" s="150" t="str">
        <x:v>bacterial lipoprotein sequence database</x:v>
      </x:c>
      <x:c r="C68" s="150" t="str">
        <x:v>Bacterial lipoproteins and lipidation-related annotations</x:v>
      </x:c>
      <x:c r="D68" s="151" t="str">
        <x:v>mixed predicted and experimental; not a site atlas</x:v>
      </x:c>
      <x:c r="E68" s="151" t="str">
        <x:v>LIVE_AGING</x:v>
      </x:c>
      <x:c r="F68" s="150" t="str">
        <x:v>Live list; latest substantive database paper 2006</x:v>
      </x:c>
      <x:c r="G68" s="151" t="str">
        <x:v>2006 paper; live list checked 2026-08-14</x:v>
      </x:c>
      <x:c r="H68" s="168" t="n">
        <x:v>278</x:v>
      </x:c>
      <x:c r="I68" s="150" t="str">
        <x:v>distinct bacterial lipoprotein entries</x:v>
      </x:c>
      <x:c r="J68" s="168" t="str"/>
      <x:c r="K68" s="168" t="str">
        <x:v>234 genomes</x:v>
      </x:c>
      <x:c r="L68" s="168" t="str">
        <x:v>lipidation broad</x:v>
      </x:c>
      <x:c r="M68" s="150" t="str"/>
      <x:c r="N68" s="185" t="str">
        <x:v>https://www.mrc-lmb.cam.ac.uk/genomes/dolop/list.shtml</x:v>
      </x:c>
      <x:c r="O68" s="185" t="str">
        <x:v>https://pmc.ncbi.nlm.nih.gov/articles/PMC1446993/</x:v>
      </x:c>
      <x:c r="P68" s="150" t="str">
        <x:v>EXCLUDE_FROM_STRICT_EXPERIMENTAL_SITE_ROSTER</x:v>
      </x:c>
      <x:c r="Q68" s="150" t="str">
        <x:v>Entries are not all experimentally confirmed modification sites.</x:v>
      </x:c>
    </x:row>
    <x:row r="69" ht="33" customHeight="1">
      <x:c r="A69" s="158" t="str">
        <x:v>LantiBase</x:v>
      </x:c>
      <x:c r="B69" s="158" t="str">
        <x:v>lantibiotic sequence and structure catalog</x:v>
      </x:c>
      <x:c r="C69" s="158" t="str">
        <x:v>Lantibiotics and thioether-rich RiPPs</x:v>
      </x:c>
      <x:c r="D69" s="159" t="str">
        <x:v>sequence/structure annotations; not bridge sites</x:v>
      </x:c>
      <x:c r="E69" s="159" t="str">
        <x:v>LIVE_STATIC</x:v>
      </x:c>
      <x:c r="F69" s="158" t="str">
        <x:v>Portal responds but legacy content is based on UniProt 2015</x:v>
      </x:c>
      <x:c r="G69" s="159" t="str">
        <x:v>UniProt 2015 basis; checked 2026-08-14</x:v>
      </x:c>
      <x:c r="H69" s="170" t="n">
        <x:v>37</x:v>
      </x:c>
      <x:c r="I69" s="158" t="str">
        <x:v>lantibiotic sequence/structure entries</x:v>
      </x:c>
      <x:c r="J69" s="170" t="str"/>
      <x:c r="K69" s="170" t="str"/>
      <x:c r="L69" s="170" t="str">
        <x:v>thioether crosslink broad</x:v>
      </x:c>
      <x:c r="M69" s="158" t="str"/>
      <x:c r="N69" s="184" t="str">
        <x:v>https://lantibase.weebly.com/</x:v>
      </x:c>
      <x:c r="O69" s="184" t="str">
        <x:v>https://lantibase.weebly.com/</x:v>
      </x:c>
      <x:c r="P69" s="158" t="str">
        <x:v>EXCLUDE_FROM_STRICT_EXPERIMENTAL_SITE_ROSTER</x:v>
      </x:c>
      <x:c r="Q69" s="158" t="str">
        <x:v>Entry count is not a residue-crosslink site inventory.</x:v>
      </x:c>
    </x:row>
    <x:row r="70" ht="33" customHeight="1">
      <x:c r="A70" s="150" t="str">
        <x:v>B6db</x:v>
      </x:c>
      <x:c r="B70" s="150" t="str">
        <x:v>PLP-enzyme sequence/family catalog</x:v>
      </x:c>
      <x:c r="C70" s="150" t="str">
        <x:v>Pyridoxal-phosphate enzymes</x:v>
      </x:c>
      <x:c r="D70" s="151" t="str">
        <x:v>protein/enzyme records, not experimental covalent sites</x:v>
      </x:c>
      <x:c r="E70" s="151" t="str">
        <x:v>LIVE_AGING</x:v>
      </x:c>
      <x:c r="F70" s="150" t="str">
        <x:v>Portal responds; no current experimental site atlas</x:v>
      </x:c>
      <x:c r="G70" s="151" t="str">
        <x:v>live portal checked 2026-08-14</x:v>
      </x:c>
      <x:c r="H70" s="168" t="n">
        <x:v>4324</x:v>
      </x:c>
      <x:c r="I70" s="150" t="str">
        <x:v>PLP-enzyme sequences</x:v>
      </x:c>
      <x:c r="J70" s="168" t="str"/>
      <x:c r="K70" s="168" t="str"/>
      <x:c r="L70" s="168" t="str">
        <x:v>PLP attachment broad</x:v>
      </x:c>
      <x:c r="M70" s="150" t="str">
        <x:v>348 activities; 358 families; 2808 references</x:v>
      </x:c>
      <x:c r="N70" s="185" t="str">
        <x:v>https://bioinformatics.unipr.it/cgi-bin/bioinformatics/B6db/home.pl</x:v>
      </x:c>
      <x:c r="O70" s="185" t="str">
        <x:v>https://bioinformatics.unipr.it/cgi-bin/bioinformatics/B6db/home.pl</x:v>
      </x:c>
      <x:c r="P70" s="150" t="str">
        <x:v>EXCLUDE_FROM_STRICT_EXPERIMENTAL_SITE_ROSTER</x:v>
      </x:c>
      <x:c r="Q70" s="150" t="str">
        <x:v>Sequence/family counts are not covalent PLP-Lys site observations.</x:v>
      </x:c>
    </x:row>
    <x:row r="71" ht="33" customHeight="1">
      <x:c r="A71" s="171" t="str">
        <x:v>MicRhoDE</x:v>
      </x:c>
      <x:c r="B71" s="171" t="str">
        <x:v>microbial rhodopsin sequence database</x:v>
      </x:c>
      <x:c r="C71" s="171" t="str">
        <x:v>Type-1 rhodopsins and retinal-binding proteins</x:v>
      </x:c>
      <x:c r="D71" s="172" t="str">
        <x:v>sequence records, not experimental retinal-linkage sites</x:v>
      </x:c>
      <x:c r="E71" s="172" t="str">
        <x:v>LIVE_AGING</x:v>
      </x:c>
      <x:c r="F71" s="171" t="str">
        <x:v>Live aging portal; substantive 2015 release</x:v>
      </x:c>
      <x:c r="G71" s="172" t="str">
        <x:v>2015 publication; checked 2026-08-14</x:v>
      </x:c>
      <x:c r="H71" s="173" t="n">
        <x:v>7857</x:v>
      </x:c>
      <x:c r="I71" s="171" t="str">
        <x:v>type-1 rhodopsin sequences</x:v>
      </x:c>
      <x:c r="J71" s="173" t="str"/>
      <x:c r="K71" s="173" t="str"/>
      <x:c r="L71" s="173" t="str">
        <x:v>retinal linkage broad</x:v>
      </x:c>
      <x:c r="M71" s="171" t="str"/>
      <x:c r="N71" s="187" t="str">
        <x:v>https://abims.sb-roscoff.fr/micrhode/</x:v>
      </x:c>
      <x:c r="O71" s="187" t="str">
        <x:v>https://pmc.ncbi.nlm.nih.gov/articles/PMC4539915/</x:v>
      </x:c>
      <x:c r="P71" s="171" t="str">
        <x:v>EXCLUDE_FROM_STRICT_EXPERIMENTAL_SITE_ROSTER</x:v>
      </x:c>
      <x:c r="Q71" s="171" t="str">
        <x:v>Sequence/environmental records are not experimentally verified retinal Schiff-base sites.</x:v>
      </x:c>
    </x:row>
  </x:sheetData>
  <x:conditionalFormatting sqref="E2:E71">
    <x:cfRule type="containsText" dxfId="53" priority="1" operator="containsText" text="ACTIVE"/>
    <x:cfRule type="containsText" dxfId="54" priority="2" operator="containsText" text="LIVE"/>
    <x:cfRule type="containsText" dxfId="55" priority="3" operator="containsText" text="UNAVAILABLE"/>
    <x:cfRule type="containsText" dxfId="56" priority="4" operator="containsText" text="RETIRED"/>
    <x:cfRule type="containsText" dxfId="57" priority="5" operator="containsText" text="SUPERSEDED"/>
    <x:cfRule type="containsText" dxfId="58" priority="6" operator="containsText" text="BROKEN"/>
    <x:cfRule type="containsText" dxfId="59" priority="7" operator="containsText" text="NONE"/>
    <x:cfRule type="containsText" dxfId="60" priority="8" operator="containsText" text="NO_DEDICATED"/>
    <x:cfRule type="containsText" dxfId="61" priority="9" operator="containsText" text="GENERAL"/>
    <x:cfRule type="containsText" dxfId="62" priority="10" operator="containsText" text="PRIMARY"/>
    <x:cfRule type="containsText" dxfId="63" priority="11" operator="containsText" text="STRUCTURAL"/>
    <x:cfRule type="containsText" dxfId="64" priority="12" operator="containsText" text="MOTIF_RESOURCE"/>
    <x:cfRule type="containsText" dxfId="65" priority="13" operator="containsText" text="PATHWAY"/>
    <x:cfRule type="containsText" dxfId="66" priority="14" operator="containsText" text="ENZYME_RESOURCE"/>
    <x:cfRule type="containsText" dxfId="67" priority="15" operator="containsText" text="SITE_DATASET"/>
    <x:cfRule type="containsText" dxfId="68" priority="16" operator="containsText" text="SITE_ATLAS"/>
    <x:cfRule type="containsText" dxfId="69" priority="17" operator="containsText" text="STALE"/>
    <x:cfRule type="containsText" dxfId="70" priority="18" operator="containsText" text="STATIC"/>
  </x:conditionalFormatting>
  <x:hyperlinks>
    <x:hyperlink ref="N2" r:id="rIdHyperlink1"/>
    <x:hyperlink ref="O2" r:id="rIdHyperlink2"/>
    <x:hyperlink ref="N3" r:id="rIdHyperlink3"/>
    <x:hyperlink ref="O3" r:id="rIdHyperlink4"/>
    <x:hyperlink ref="N4" r:id="rIdHyperlink5"/>
    <x:hyperlink ref="O4" r:id="rIdHyperlink6"/>
    <x:hyperlink ref="N5" r:id="rIdHyperlink7"/>
    <x:hyperlink ref="O5" r:id="rIdHyperlink8"/>
    <x:hyperlink ref="N6" r:id="rIdHyperlink9"/>
    <x:hyperlink ref="O6" r:id="rIdHyperlink10"/>
    <x:hyperlink ref="N7" r:id="rIdHyperlink11"/>
    <x:hyperlink ref="O7" r:id="rIdHyperlink12"/>
    <x:hyperlink ref="N8" r:id="rIdHyperlink13"/>
    <x:hyperlink ref="O8" r:id="rIdHyperlink14"/>
    <x:hyperlink ref="N9" r:id="rIdHyperlink15"/>
    <x:hyperlink ref="O9" r:id="rIdHyperlink16"/>
    <x:hyperlink ref="N10" r:id="rIdHyperlink17"/>
    <x:hyperlink ref="O10" r:id="rIdHyperlink18"/>
    <x:hyperlink ref="O11" r:id="rIdHyperlink19"/>
    <x:hyperlink ref="N12" r:id="rIdHyperlink20"/>
    <x:hyperlink ref="O12" r:id="rIdHyperlink21"/>
    <x:hyperlink ref="N13" r:id="rIdHyperlink22"/>
    <x:hyperlink ref="O13" r:id="rIdHyperlink23"/>
    <x:hyperlink ref="N14" r:id="rIdHyperlink24"/>
    <x:hyperlink ref="O14" r:id="rIdHyperlink25"/>
    <x:hyperlink ref="N15" r:id="rIdHyperlink26"/>
    <x:hyperlink ref="O15" r:id="rIdHyperlink27"/>
    <x:hyperlink ref="N16" r:id="rIdHyperlink28"/>
    <x:hyperlink ref="O16" r:id="rIdHyperlink29"/>
    <x:hyperlink ref="N17" r:id="rIdHyperlink30"/>
    <x:hyperlink ref="O17" r:id="rIdHyperlink31"/>
    <x:hyperlink ref="O18" r:id="rIdHyperlink32"/>
    <x:hyperlink ref="N19" r:id="rIdHyperlink33"/>
    <x:hyperlink ref="O19" r:id="rIdHyperlink34"/>
    <x:hyperlink ref="N20" r:id="rIdHyperlink35"/>
    <x:hyperlink ref="O20" r:id="rIdHyperlink36"/>
    <x:hyperlink ref="N21" r:id="rIdHyperlink37"/>
    <x:hyperlink ref="O21" r:id="rIdHyperlink38"/>
    <x:hyperlink ref="N22" r:id="rIdHyperlink39"/>
    <x:hyperlink ref="O22" r:id="rIdHyperlink40"/>
    <x:hyperlink ref="N23" r:id="rIdHyperlink41"/>
    <x:hyperlink ref="O23" r:id="rIdHyperlink42"/>
    <x:hyperlink ref="O24" r:id="rIdHyperlink43"/>
    <x:hyperlink ref="O25" r:id="rIdHyperlink44"/>
    <x:hyperlink ref="N26" r:id="rIdHyperlink45"/>
    <x:hyperlink ref="O26" r:id="rIdHyperlink46"/>
    <x:hyperlink ref="N27" r:id="rIdHyperlink47"/>
    <x:hyperlink ref="O27" r:id="rIdHyperlink48"/>
    <x:hyperlink ref="N28" r:id="rIdHyperlink49"/>
    <x:hyperlink ref="O28" r:id="rIdHyperlink50"/>
    <x:hyperlink ref="N29" r:id="rIdHyperlink51"/>
    <x:hyperlink ref="O29" r:id="rIdHyperlink52"/>
    <x:hyperlink ref="N30" r:id="rIdHyperlink53"/>
    <x:hyperlink ref="O30" r:id="rIdHyperlink54"/>
    <x:hyperlink ref="N31" r:id="rIdHyperlink55"/>
    <x:hyperlink ref="O31" r:id="rIdHyperlink56"/>
    <x:hyperlink ref="N32" r:id="rIdHyperlink57"/>
    <x:hyperlink ref="O32" r:id="rIdHyperlink58"/>
    <x:hyperlink ref="N33" r:id="rIdHyperlink59"/>
    <x:hyperlink ref="O33" r:id="rIdHyperlink60"/>
    <x:hyperlink ref="N34" r:id="rIdHyperlink61"/>
    <x:hyperlink ref="O34" r:id="rIdHyperlink62"/>
    <x:hyperlink ref="N35" r:id="rIdHyperlink63"/>
    <x:hyperlink ref="O35" r:id="rIdHyperlink64"/>
    <x:hyperlink ref="N36" r:id="rIdHyperlink65"/>
    <x:hyperlink ref="O36" r:id="rIdHyperlink66"/>
    <x:hyperlink ref="N37" r:id="rIdHyperlink67"/>
    <x:hyperlink ref="O37" r:id="rIdHyperlink68"/>
    <x:hyperlink ref="O38" r:id="rIdHyperlink69"/>
    <x:hyperlink ref="O39" r:id="rIdHyperlink70"/>
    <x:hyperlink ref="O40" r:id="rIdHyperlink71"/>
    <x:hyperlink ref="O41" r:id="rIdHyperlink72"/>
    <x:hyperlink ref="O42" r:id="rIdHyperlink73"/>
    <x:hyperlink ref="N43" r:id="rIdHyperlink74"/>
    <x:hyperlink ref="O43" r:id="rIdHyperlink75"/>
    <x:hyperlink ref="O44" r:id="rIdHyperlink76"/>
    <x:hyperlink ref="O45" r:id="rIdHyperlink77"/>
    <x:hyperlink ref="N46" r:id="rIdHyperlink78"/>
    <x:hyperlink ref="O46" r:id="rIdHyperlink79"/>
    <x:hyperlink ref="N47" r:id="rIdHyperlink80"/>
    <x:hyperlink ref="O47" r:id="rIdHyperlink81"/>
    <x:hyperlink ref="O48" r:id="rIdHyperlink82"/>
    <x:hyperlink ref="N49" r:id="rIdHyperlink83"/>
    <x:hyperlink ref="O49" r:id="rIdHyperlink84"/>
    <x:hyperlink ref="N50" r:id="rIdHyperlink85"/>
    <x:hyperlink ref="O50" r:id="rIdHyperlink86"/>
    <x:hyperlink ref="N51" r:id="rIdHyperlink87"/>
    <x:hyperlink ref="O51" r:id="rIdHyperlink88"/>
    <x:hyperlink ref="N52" r:id="rIdHyperlink89"/>
    <x:hyperlink ref="O52" r:id="rIdHyperlink90"/>
    <x:hyperlink ref="O53" r:id="rIdHyperlink91"/>
    <x:hyperlink ref="O54" r:id="rIdHyperlink92"/>
    <x:hyperlink ref="O55" r:id="rIdHyperlink93"/>
    <x:hyperlink ref="N56" r:id="rIdHyperlink94"/>
    <x:hyperlink ref="O56" r:id="rIdHyperlink95"/>
    <x:hyperlink ref="O57" r:id="rIdHyperlink96"/>
    <x:hyperlink ref="N58" r:id="rIdHyperlink97"/>
    <x:hyperlink ref="O58" r:id="rIdHyperlink98"/>
    <x:hyperlink ref="N59" r:id="rIdHyperlink99"/>
    <x:hyperlink ref="O59" r:id="rIdHyperlink100"/>
    <x:hyperlink ref="N60" r:id="rIdHyperlink101"/>
    <x:hyperlink ref="O60" r:id="rIdHyperlink102"/>
    <x:hyperlink ref="N61" r:id="rIdHyperlink103"/>
    <x:hyperlink ref="O61" r:id="rIdHyperlink104"/>
    <x:hyperlink ref="N62" r:id="rIdHyperlink105"/>
    <x:hyperlink ref="O62" r:id="rIdHyperlink106"/>
    <x:hyperlink ref="N63" r:id="rIdHyperlink107"/>
    <x:hyperlink ref="O63" r:id="rIdHyperlink108"/>
    <x:hyperlink ref="O64" r:id="rIdHyperlink109"/>
    <x:hyperlink ref="N65" r:id="rIdHyperlink110"/>
    <x:hyperlink ref="O65" r:id="rIdHyperlink111"/>
    <x:hyperlink ref="N66" r:id="rIdHyperlink112"/>
    <x:hyperlink ref="O66" r:id="rIdHyperlink113"/>
    <x:hyperlink ref="N67" r:id="rIdHyperlink114"/>
    <x:hyperlink ref="O67" r:id="rIdHyperlink115"/>
    <x:hyperlink ref="N68" r:id="rIdHyperlink116"/>
    <x:hyperlink ref="O68" r:id="rIdHyperlink117"/>
    <x:hyperlink ref="N69" r:id="rIdHyperlink118"/>
    <x:hyperlink ref="O69" r:id="rIdHyperlink119"/>
    <x:hyperlink ref="N70" r:id="rIdHyperlink120"/>
    <x:hyperlink ref="O70" r:id="rIdHyperlink121"/>
    <x:hyperlink ref="N71" r:id="rIdHyperlink122"/>
    <x:hyperlink ref="O71" r:id="rIdHyperlink123"/>
  </x:hyperlinks>
  <x:pageMargins left="0.7" right="0.7" top="0.75" bottom="0.75" header="0.3" footer="0.3"/>
  <x:tableParts count="1">
    <x:tablePart xmlns:r="http://schemas.openxmlformats.org/officeDocument/2006/relationships" r:id="Rda0e0a14da1b4ff9"/>
  </x:tableParts>
</x:worksheet>
</file>

<file path=xl/worksheets/sheet6.xml><?xml version="1.0" encoding="utf-8"?>
<x:worksheet xmlns:x="http://schemas.openxmlformats.org/spreadsheetml/2006/main" xmlns:r="http://schemas.openxmlformats.org/officeDocument/2006/relationships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1.110000610351562" hidden="0" customWidth="1"/>
    <x:col min="2" max="2" width="23.329999923706055" hidden="0" customWidth="1"/>
    <x:col min="3" max="3" width="21.110000610351562" hidden="0" customWidth="1"/>
    <x:col min="4" max="4" width="33.33000183105469" hidden="0" customWidth="1"/>
    <x:col min="5" max="5" width="15" hidden="0" customWidth="1"/>
    <x:col min="6" max="6" width="16.670000076293945" hidden="0" customWidth="1"/>
    <x:col min="7" max="7" width="11.670000076293945" hidden="0" customWidth="1"/>
    <x:col min="8" max="8" width="27.780000686645508" hidden="0" customWidth="1"/>
    <x:col min="9" max="9" width="32.220001220703125" hidden="0" customWidth="1"/>
    <x:col min="10" max="10" width="12.220000267028809" hidden="0" customWidth="1"/>
    <x:col min="11" max="11" width="31.110000610351562" hidden="0" customWidth="1"/>
    <x:col min="12" max="12" width="38.88999938964844" hidden="0" customWidth="1"/>
  </x:cols>
  <x:sheetData>
    <x:row r="1" ht="33" customHeight="1">
      <x:c r="A1" s="135" t="str">
        <x:v>Resource</x:v>
      </x:c>
      <x:c r="B1" s="135" t="str">
        <x:v>Resource class</x:v>
      </x:c>
      <x:c r="C1" s="135" t="str">
        <x:v>Operational PTM family</x:v>
      </x:c>
      <x:c r="D1" s="135" t="str">
        <x:v>Scope / metric</x:v>
      </x:c>
      <x:c r="E1" s="135" t="str">
        <x:v>Status</x:v>
      </x:c>
      <x:c r="F1" s="135" t="str">
        <x:v>Release / update</x:v>
      </x:c>
      <x:c r="G1" s="135" t="str">
        <x:v>Count</x:v>
      </x:c>
      <x:c r="H1" s="135" t="str">
        <x:v>Count unit</x:v>
      </x:c>
      <x:c r="I1" s="135" t="str">
        <x:v>Source URL</x:v>
      </x:c>
      <x:c r="J1" s="135" t="str">
        <x:v>Accessed</x:v>
      </x:c>
      <x:c r="K1" s="135" t="str">
        <x:v>Access / license</x:v>
      </x:c>
      <x:c r="L1" s="135" t="str">
        <x:v>Caveat</x:v>
      </x:c>
    </x:row>
    <x:row r="2" ht="33" customHeight="1">
      <x:c r="A2" s="146" t="str">
        <x:v>dbPSP 2.0</x:v>
      </x:c>
      <x:c r="B2" s="146" t="str">
        <x:v>dedicated experimental site database</x:v>
      </x:c>
      <x:c r="C2" s="146" t="str">
        <x:v>prokaryotic phosphorylation</x:v>
      </x:c>
      <x:c r="D2" s="146" t="str">
        <x:v>experimentally identified nonredundant phosphosites</x:v>
      </x:c>
      <x:c r="E2" s="147" t="str">
        <x:v>live but aging</x:v>
      </x:c>
      <x:c r="F2" s="147" t="str">
        <x:v>2019-06-01</x:v>
      </x:c>
      <x:c r="G2" s="167" t="n">
        <x:v>19296</x:v>
      </x:c>
      <x:c r="H2" s="146" t="str">
        <x:v>nonredundant phosphosites</x:v>
      </x:c>
      <x:c r="I2" s="183" t="str">
        <x:v>https://dbpsp.biocuckoo.cn/</x:v>
      </x:c>
      <x:c r="J2" s="147" t="str">
        <x:v>2026-08-14</x:v>
      </x:c>
      <x:c r="K2" s="146" t="str">
        <x:v>free download; CC BY 3.0 China; Figshare DOI 10.6084/m9.figshare.11436879</x:v>
      </x:c>
      <x:c r="L2" s="146" t="str">
        <x:v>Residues S/T/Y/R/D/H/C across bacteria and archaea; true residue-level experimental observations.</x:v>
      </x:c>
    </x:row>
    <x:row r="3" ht="33" customHeight="1">
      <x:c r="A3" s="158" t="str">
        <x:v>dbPSP 2.0</x:v>
      </x:c>
      <x:c r="B3" s="158" t="str">
        <x:v>dedicated experimental site database</x:v>
      </x:c>
      <x:c r="C3" s="158" t="str">
        <x:v>prokaryotic phosphorylation</x:v>
      </x:c>
      <x:c r="D3" s="158" t="str">
        <x:v>proteins carrying catalogued sites</x:v>
      </x:c>
      <x:c r="E3" s="159" t="str">
        <x:v>live but aging</x:v>
      </x:c>
      <x:c r="F3" s="159" t="str">
        <x:v>2019-06-01</x:v>
      </x:c>
      <x:c r="G3" s="170" t="n">
        <x:v>8586</x:v>
      </x:c>
      <x:c r="H3" s="158" t="str">
        <x:v>proteins</x:v>
      </x:c>
      <x:c r="I3" s="184" t="str">
        <x:v>https://dbpsp.biocuckoo.cn/</x:v>
      </x:c>
      <x:c r="J3" s="159" t="str">
        <x:v>2026-08-14</x:v>
      </x:c>
      <x:c r="K3" s="158" t="str">
        <x:v>free download; CC BY 3.0 China</x:v>
      </x:c>
      <x:c r="L3" s="158" t="str">
        <x:v>Protein count is not additive with the site count.</x:v>
      </x:c>
    </x:row>
    <x:row r="4" ht="33" customHeight="1">
      <x:c r="A4" s="150" t="str">
        <x:v>dbPSP 2.0</x:v>
      </x:c>
      <x:c r="B4" s="150" t="str">
        <x:v>dedicated experimental site database</x:v>
      </x:c>
      <x:c r="C4" s="150" t="str">
        <x:v>prokaryotic phosphorylation</x:v>
      </x:c>
      <x:c r="D4" s="150" t="str">
        <x:v>organism coverage</x:v>
      </x:c>
      <x:c r="E4" s="151" t="str">
        <x:v>live but aging</x:v>
      </x:c>
      <x:c r="F4" s="151" t="str">
        <x:v>2019-06-01</x:v>
      </x:c>
      <x:c r="G4" s="168" t="n">
        <x:v>200</x:v>
      </x:c>
      <x:c r="H4" s="150" t="str">
        <x:v>prokaryotic organisms</x:v>
      </x:c>
      <x:c r="I4" s="185" t="str">
        <x:v>https://pmc.ncbi.nlm.nih.gov/articles/PMC7260176/</x:v>
      </x:c>
      <x:c r="J4" s="151" t="str">
        <x:v>2026-08-14</x:v>
      </x:c>
      <x:c r="K4" s="150" t="str">
        <x:v>article and dataset openly available</x:v>
      </x:c>
      <x:c r="L4" s="150" t="str">
        <x:v>Covers 12 phyla; organism count is a coverage metric, not a PTM-site denominator.</x:v>
      </x:c>
    </x:row>
    <x:row r="5" ht="33" customHeight="1">
      <x:c r="A5" s="158" t="str">
        <x:v>ProGlycProt v3</x:v>
      </x:c>
      <x:c r="B5" s="158" t="str">
        <x:v>dedicated experimental glycoprotein/glycoenzyme resource</x:v>
      </x:c>
      <x:c r="C5" s="158" t="str">
        <x:v>prokaryotic glycosylation</x:v>
      </x:c>
      <x:c r="D5" s="158" t="str">
        <x:v>all v3 resource entries</x:v>
      </x:c>
      <x:c r="E5" s="159" t="str">
        <x:v>live</x:v>
      </x:c>
      <x:c r="F5" s="159" t="n">
        <x:v>2023</x:v>
      </x:c>
      <x:c r="G5" s="170" t="n">
        <x:v>1655</x:v>
      </x:c>
      <x:c r="H5" s="158" t="str">
        <x:v>entries</x:v>
      </x:c>
      <x:c r="I5" s="184" t="str">
        <x:v>https://www.proglycprot.org/</x:v>
      </x:c>
      <x:c r="J5" s="159" t="str">
        <x:v>2026-08-14</x:v>
      </x:c>
      <x:c r="K5" s="158" t="str">
        <x:v>web browse; CC BY-NC-SA 2.5 India</x:v>
      </x:c>
      <x:c r="L5" s="158" t="str">
        <x:v>Composite denominator: 363 site-mapped glycoproteins + 951 glycosylated proteins without mapped sites + 152 main glycosyltransferases + 189 accessory enzymes.</x:v>
      </x:c>
    </x:row>
    <x:row r="6" ht="33" customHeight="1">
      <x:c r="A6" s="150" t="str">
        <x:v>ProGlycProt v3</x:v>
      </x:c>
      <x:c r="B6" s="150" t="str">
        <x:v>dedicated experimental glycoprotein/glycoenzyme resource</x:v>
      </x:c>
      <x:c r="C6" s="150" t="str">
        <x:v>prokaryotic glycosylation</x:v>
      </x:c>
      <x:c r="D6" s="150" t="str">
        <x:v>ProCGP entries with at least one experimentally validated glycosite</x:v>
      </x:c>
      <x:c r="E6" s="151" t="str">
        <x:v>live</x:v>
      </x:c>
      <x:c r="F6" s="151" t="n">
        <x:v>2023</x:v>
      </x:c>
      <x:c r="G6" s="168" t="n">
        <x:v>363</x:v>
      </x:c>
      <x:c r="H6" s="150" t="str">
        <x:v>site-mapped glycoprotein entries</x:v>
      </x:c>
      <x:c r="I6" s="185" t="str">
        <x:v>https://www.proglycprot.org/</x:v>
      </x:c>
      <x:c r="J6" s="151" t="str">
        <x:v>2026-08-14</x:v>
      </x:c>
      <x:c r="K6" s="150" t="str">
        <x:v>web browse; CC BY-NC-SA 2.5 India</x:v>
      </x:c>
      <x:c r="L6" s="150" t="str">
        <x:v>Entry count, not a count of unique glycosylated residues.</x:v>
      </x:c>
    </x:row>
    <x:row r="7" ht="33" customHeight="1">
      <x:c r="A7" s="158" t="str">
        <x:v>ProGlycProt v3</x:v>
      </x:c>
      <x:c r="B7" s="158" t="str">
        <x:v>dedicated experimental glycoprotein/glycoenzyme resource</x:v>
      </x:c>
      <x:c r="C7" s="158" t="str">
        <x:v>prokaryotic glycosylation</x:v>
      </x:c>
      <x:c r="D7" s="158" t="str">
        <x:v>ProUGP experimentally glycosylated proteins with site not mapped</x:v>
      </x:c>
      <x:c r="E7" s="159" t="str">
        <x:v>live</x:v>
      </x:c>
      <x:c r="F7" s="159" t="n">
        <x:v>2023</x:v>
      </x:c>
      <x:c r="G7" s="170" t="n">
        <x:v>951</x:v>
      </x:c>
      <x:c r="H7" s="158" t="str">
        <x:v>site-unmapped glycoprotein entries</x:v>
      </x:c>
      <x:c r="I7" s="184" t="str">
        <x:v>https://www.proglycprot.org/</x:v>
      </x:c>
      <x:c r="J7" s="159" t="str">
        <x:v>2026-08-14</x:v>
      </x:c>
      <x:c r="K7" s="158" t="str">
        <x:v>web browse; CC BY-NC-SA 2.5 India</x:v>
      </x:c>
      <x:c r="L7" s="158" t="str">
        <x:v>Experimental glycosylation is supported, but residue location is absent.</x:v>
      </x:c>
    </x:row>
    <x:row r="8" ht="33" customHeight="1">
      <x:c r="A8" s="150" t="str">
        <x:v>ProGlycProt v3</x:v>
      </x:c>
      <x:c r="B8" s="150" t="str">
        <x:v>dedicated experimental glycoprotein/glycoenzyme resource</x:v>
      </x:c>
      <x:c r="C8" s="150" t="str">
        <x:v>prokaryotic glycosylation</x:v>
      </x:c>
      <x:c r="D8" s="150" t="str">
        <x:v>experimentally characterized main glycosyltransferases</x:v>
      </x:c>
      <x:c r="E8" s="151" t="str">
        <x:v>live</x:v>
      </x:c>
      <x:c r="F8" s="151" t="n">
        <x:v>2023</x:v>
      </x:c>
      <x:c r="G8" s="168" t="n">
        <x:v>152</x:v>
      </x:c>
      <x:c r="H8" s="150" t="str">
        <x:v>glycosyltransferase entries</x:v>
      </x:c>
      <x:c r="I8" s="185" t="str">
        <x:v>https://www.proglycprot.org/</x:v>
      </x:c>
      <x:c r="J8" s="151" t="str">
        <x:v>2026-08-14</x:v>
      </x:c>
      <x:c r="K8" s="150" t="str">
        <x:v>web browse; CC BY-NC-SA 2.5 India</x:v>
      </x:c>
      <x:c r="L8" s="150" t="str">
        <x:v>Enzyme catalog, not PTM sites.</x:v>
      </x:c>
    </x:row>
    <x:row r="9" ht="33" customHeight="1">
      <x:c r="A9" s="158" t="str">
        <x:v>ProGlycProt v3</x:v>
      </x:c>
      <x:c r="B9" s="158" t="str">
        <x:v>dedicated experimental glycoprotein/glycoenzyme resource</x:v>
      </x:c>
      <x:c r="C9" s="158" t="str">
        <x:v>prokaryotic glycosylation</x:v>
      </x:c>
      <x:c r="D9" s="158" t="str">
        <x:v>accessory glycosylation enzymes</x:v>
      </x:c>
      <x:c r="E9" s="159" t="str">
        <x:v>live</x:v>
      </x:c>
      <x:c r="F9" s="159" t="n">
        <x:v>2023</x:v>
      </x:c>
      <x:c r="G9" s="170" t="n">
        <x:v>189</x:v>
      </x:c>
      <x:c r="H9" s="158" t="str">
        <x:v>accessory-enzyme entries</x:v>
      </x:c>
      <x:c r="I9" s="184" t="str">
        <x:v>https://www.proglycprot.org/</x:v>
      </x:c>
      <x:c r="J9" s="159" t="str">
        <x:v>2026-08-14</x:v>
      </x:c>
      <x:c r="K9" s="158" t="str">
        <x:v>web browse; CC BY-NC-SA 2.5 India</x:v>
      </x:c>
      <x:c r="L9" s="158" t="str">
        <x:v>Enzyme catalog, not PTM sites.</x:v>
      </x:c>
    </x:row>
    <x:row r="10" ht="33" customHeight="1">
      <x:c r="A10" s="150" t="str">
        <x:v>PupDB</x:v>
      </x:c>
      <x:c r="B10" s="150" t="str">
        <x:v>dedicated experimental site/protein database</x:v>
      </x:c>
      <x:c r="C10" s="150" t="str">
        <x:v>pupylation</x:v>
      </x:c>
      <x:c r="D10" s="150" t="str">
        <x:v>known pupylation sites</x:v>
      </x:c>
      <x:c r="E10" s="151" t="str">
        <x:v>retired/unavailable</x:v>
      </x:c>
      <x:c r="F10" s="151" t="n">
        <x:v>2012</x:v>
      </x:c>
      <x:c r="G10" s="168" t="n">
        <x:v>215</x:v>
      </x:c>
      <x:c r="H10" s="150" t="str">
        <x:v>known pupylation sites</x:v>
      </x:c>
      <x:c r="I10" s="185" t="str">
        <x:v>https://pmc.ncbi.nlm.nih.gov/articles/PMC3314583/</x:v>
      </x:c>
      <x:c r="J10" s="151" t="str">
        <x:v>2026-08-14</x:v>
      </x:c>
      <x:c r="K10" s="150" t="str">
        <x:v>historically free/downloadable; explicit dataset license not verified</x:v>
      </x:c>
      <x:c r="L10" s="150" t="str">
        <x:v>Historical snapshot across three species; original site failed connection.</x:v>
      </x:c>
    </x:row>
    <x:row r="11" ht="33" customHeight="1">
      <x:c r="A11" s="158" t="str">
        <x:v>PupDB</x:v>
      </x:c>
      <x:c r="B11" s="158" t="str">
        <x:v>dedicated experimental site/protein database</x:v>
      </x:c>
      <x:c r="C11" s="158" t="str">
        <x:v>pupylation</x:v>
      </x:c>
      <x:c r="D11" s="158" t="str">
        <x:v>proteins carrying known pupylation sites</x:v>
      </x:c>
      <x:c r="E11" s="159" t="str">
        <x:v>retired/unavailable</x:v>
      </x:c>
      <x:c r="F11" s="159" t="n">
        <x:v>2012</x:v>
      </x:c>
      <x:c r="G11" s="170" t="n">
        <x:v>182</x:v>
      </x:c>
      <x:c r="H11" s="158" t="str">
        <x:v>pupylated proteins</x:v>
      </x:c>
      <x:c r="I11" s="184" t="str">
        <x:v>https://pmc.ncbi.nlm.nih.gov/articles/PMC3314583/</x:v>
      </x:c>
      <x:c r="J11" s="159" t="str">
        <x:v>2026-08-14</x:v>
      </x:c>
      <x:c r="K11" s="158" t="str">
        <x:v>historically free/downloadable; explicit dataset license not verified</x:v>
      </x:c>
      <x:c r="L11" s="158" t="str">
        <x:v>Do not add to candidate proteins below.</x:v>
      </x:c>
    </x:row>
    <x:row r="12" ht="33" customHeight="1">
      <x:c r="A12" s="150" t="str">
        <x:v>PupDB</x:v>
      </x:c>
      <x:c r="B12" s="150" t="str">
        <x:v>dedicated experimental site/protein database</x:v>
      </x:c>
      <x:c r="C12" s="150" t="str">
        <x:v>pupylation</x:v>
      </x:c>
      <x:c r="D12" s="150" t="str">
        <x:v>candidate pupylated proteins with unknown site</x:v>
      </x:c>
      <x:c r="E12" s="151" t="str">
        <x:v>retired/unavailable</x:v>
      </x:c>
      <x:c r="F12" s="151" t="n">
        <x:v>2012</x:v>
      </x:c>
      <x:c r="G12" s="168" t="n">
        <x:v>1123</x:v>
      </x:c>
      <x:c r="H12" s="150" t="str">
        <x:v>candidate proteins</x:v>
      </x:c>
      <x:c r="I12" s="185" t="str">
        <x:v>https://pmc.ncbi.nlm.nih.gov/articles/PMC3314583/</x:v>
      </x:c>
      <x:c r="J12" s="151" t="str">
        <x:v>2026-08-14</x:v>
      </x:c>
      <x:c r="K12" s="150" t="str">
        <x:v>historically free/downloadable; explicit dataset license not verified</x:v>
      </x:c>
      <x:c r="L12" s="150" t="str">
        <x:v>Candidates are not residue-resolved verified sites.</x:v>
      </x:c>
    </x:row>
    <x:row r="13" ht="33" customHeight="1">
      <x:c r="A13" s="158" t="str">
        <x:v>E. coli PeptideAtlas</x:v>
      </x:c>
      <x:c r="B13" s="158" t="str">
        <x:v>general experimental proteomics evidence repository</x:v>
      </x:c>
      <x:c r="C13" s="158" t="str">
        <x:v>bacterial PTMs</x:v>
      </x:c>
      <x:c r="D13" s="158" t="str">
        <x:v>phosphorylation evidence in 2026 landscape paper</x:v>
      </x:c>
      <x:c r="E13" s="159" t="str">
        <x:v>live</x:v>
      </x:c>
      <x:c r="F13" s="159" t="str">
        <x:v>build 2024-11; paper 2026</x:v>
      </x:c>
      <x:c r="G13" s="170" t="n">
        <x:v>3806</x:v>
      </x:c>
      <x:c r="H13" s="158" t="str">
        <x:v>phosphorylation sites</x:v>
      </x:c>
      <x:c r="I13" s="184" t="str">
        <x:v>https://doi.org/10.1021/acs.jproteome.5c00902</x:v>
      </x:c>
      <x:c r="J13" s="159" t="str">
        <x:v>2026-08-14</x:v>
      </x:c>
      <x:c r="K13" s="158" t="str">
        <x:v>public browse/download; attribution requested; native per-build license unclear</x:v>
      </x:c>
      <x:c r="L13" s="158" t="str">
        <x:v>Not a dedicated PTM database; paper abstract headline used.</x:v>
      </x:c>
    </x:row>
    <x:row r="14" ht="33" customHeight="1">
      <x:c r="A14" s="150" t="str">
        <x:v>E. coli PeptideAtlas</x:v>
      </x:c>
      <x:c r="B14" s="150" t="str">
        <x:v>general experimental proteomics evidence repository</x:v>
      </x:c>
      <x:c r="C14" s="150" t="str">
        <x:v>bacterial PTMs</x:v>
      </x:c>
      <x:c r="D14" s="150" t="str">
        <x:v>acetylation evidence in 2026 landscape paper</x:v>
      </x:c>
      <x:c r="E14" s="151" t="str">
        <x:v>live</x:v>
      </x:c>
      <x:c r="F14" s="151" t="str">
        <x:v>build 2024-11; paper 2026</x:v>
      </x:c>
      <x:c r="G14" s="168" t="n">
        <x:v>754</x:v>
      </x:c>
      <x:c r="H14" s="150" t="str">
        <x:v>acetylation sites</x:v>
      </x:c>
      <x:c r="I14" s="185" t="str">
        <x:v>https://doi.org/10.1021/acs.jproteome.5c00902</x:v>
      </x:c>
      <x:c r="J14" s="151" t="str">
        <x:v>2026-08-14</x:v>
      </x:c>
      <x:c r="K14" s="150" t="str">
        <x:v>public browse/download; attribution requested; native per-build license unclear</x:v>
      </x:c>
      <x:c r="L14" s="150" t="str">
        <x:v>Not a dedicated PTM database; paper abstract headline used.</x:v>
      </x:c>
    </x:row>
    <x:row r="15" ht="33" customHeight="1">
      <x:c r="A15" s="158" t="str">
        <x:v>E. coli PeptideAtlas</x:v>
      </x:c>
      <x:c r="B15" s="158" t="str">
        <x:v>general experimental proteomics evidence repository</x:v>
      </x:c>
      <x:c r="C15" s="158" t="str">
        <x:v>bacterial PTMs</x:v>
      </x:c>
      <x:c r="D15" s="158" t="str">
        <x:v>methylation evidence in 2026 landscape paper</x:v>
      </x:c>
      <x:c r="E15" s="159" t="str">
        <x:v>live</x:v>
      </x:c>
      <x:c r="F15" s="159" t="str">
        <x:v>build 2024-11; paper 2026</x:v>
      </x:c>
      <x:c r="G15" s="170" t="n">
        <x:v>730</x:v>
      </x:c>
      <x:c r="H15" s="158" t="str">
        <x:v>methylation sites</x:v>
      </x:c>
      <x:c r="I15" s="184" t="str">
        <x:v>https://doi.org/10.1021/acs.jproteome.5c00902</x:v>
      </x:c>
      <x:c r="J15" s="159" t="str">
        <x:v>2026-08-14</x:v>
      </x:c>
      <x:c r="K15" s="158" t="str">
        <x:v>public browse/download; attribution requested; native per-build license unclear</x:v>
      </x:c>
      <x:c r="L15" s="158" t="str">
        <x:v>Abstract reports 730 whereas full-text body reports 719; preserve this internal inconsistency.</x:v>
      </x:c>
    </x:row>
    <x:row r="16" ht="33" customHeight="1">
      <x:c r="A16" s="150" t="str">
        <x:v>E. coli PeptideAtlas</x:v>
      </x:c>
      <x:c r="B16" s="150" t="str">
        <x:v>general experimental proteomics evidence repository</x:v>
      </x:c>
      <x:c r="C16" s="150" t="str">
        <x:v>bacterial PTMs</x:v>
      </x:c>
      <x:c r="D16" s="150" t="str">
        <x:v>glutathionylation evidence in 2026 landscape paper</x:v>
      </x:c>
      <x:c r="E16" s="151" t="str">
        <x:v>live</x:v>
      </x:c>
      <x:c r="F16" s="151" t="str">
        <x:v>build 2024-11; paper 2026</x:v>
      </x:c>
      <x:c r="G16" s="168" t="n">
        <x:v>352</x:v>
      </x:c>
      <x:c r="H16" s="150" t="str">
        <x:v>glutathionylation sites</x:v>
      </x:c>
      <x:c r="I16" s="185" t="str">
        <x:v>https://doi.org/10.1021/acs.jproteome.5c00902</x:v>
      </x:c>
      <x:c r="J16" s="151" t="str">
        <x:v>2026-08-14</x:v>
      </x:c>
      <x:c r="K16" s="150" t="str">
        <x:v>public browse/download; attribution requested; native per-build license unclear</x:v>
      </x:c>
      <x:c r="L16" s="150" t="str">
        <x:v>Abstract reports 352 whereas full-text body reports 253; preserve this internal inconsistency.</x:v>
      </x:c>
    </x:row>
    <x:row r="17" ht="33" customHeight="1">
      <x:c r="A17" s="158" t="str">
        <x:v>E. coli PeptideAtlas</x:v>
      </x:c>
      <x:c r="B17" s="158" t="str">
        <x:v>general experimental proteomics evidence repository</x:v>
      </x:c>
      <x:c r="C17" s="158" t="str">
        <x:v>bacterial PTMs</x:v>
      </x:c>
      <x:c r="D17" s="158" t="str">
        <x:v>phosphoribosylation evidence in 2026 landscape paper</x:v>
      </x:c>
      <x:c r="E17" s="159" t="str">
        <x:v>live</x:v>
      </x:c>
      <x:c r="F17" s="159" t="str">
        <x:v>build 2024-11; paper 2026</x:v>
      </x:c>
      <x:c r="G17" s="170" t="n">
        <x:v>226</x:v>
      </x:c>
      <x:c r="H17" s="158" t="str">
        <x:v>phosphoribosylation sites</x:v>
      </x:c>
      <x:c r="I17" s="184" t="str">
        <x:v>https://doi.org/10.1021/acs.jproteome.5c00902</x:v>
      </x:c>
      <x:c r="J17" s="159" t="str">
        <x:v>2026-08-14</x:v>
      </x:c>
      <x:c r="K17" s="158" t="str">
        <x:v>public browse/download; attribution requested; native per-build license unclear</x:v>
      </x:c>
      <x:c r="L17" s="158" t="str">
        <x:v>Not a dedicated PTM database.</x:v>
      </x:c>
    </x:row>
    <x:row r="18" ht="33" customHeight="1">
      <x:c r="A18" s="150" t="str">
        <x:v>VPTMdb</x:v>
      </x:c>
      <x:c r="B18" s="150" t="str">
        <x:v>dedicated mixed-source viral PTM database</x:v>
      </x:c>
      <x:c r="C18" s="150" t="str">
        <x:v>viral PTMs</x:v>
      </x:c>
      <x:c r="D18" s="150" t="str">
        <x:v>unique viral PTM sites across eight PTM types and 43 human viruses</x:v>
      </x:c>
      <x:c r="E18" s="151" t="str">
        <x:v>live but aging</x:v>
      </x:c>
      <x:c r="F18" s="151" t="str">
        <x:v>data cutoff before 2020-01-01; paper 2020</x:v>
      </x:c>
      <x:c r="G18" s="168" t="n">
        <x:v>1240</x:v>
      </x:c>
      <x:c r="H18" s="150" t="str">
        <x:v>unique viral PTM sites</x:v>
      </x:c>
      <x:c r="I18" s="185" t="str">
        <x:v>https://academic.oup.com/bib/article/22/4/bbaa251/5935500</x:v>
      </x:c>
      <x:c r="J18" s="151" t="str">
        <x:v>2026-08-14</x:v>
      </x:c>
      <x:c r="K18" s="150" t="str">
        <x:v>free browse/download; explicit dataset license not verified</x:v>
      </x:c>
      <x:c r="L18" s="150" t="str">
        <x:v>Mixed provenance: 818 manually checked experimental sites plus 422 UniProtKB/Swiss-Prot-derived sites; embedded VPTMpre predictor must be kept separate.</x:v>
      </x:c>
    </x:row>
    <x:row r="19" ht="33" customHeight="1">
      <x:c r="A19" s="158" t="str">
        <x:v>VPTMdb</x:v>
      </x:c>
      <x:c r="B19" s="158" t="str">
        <x:v>dedicated mixed-source viral PTM database</x:v>
      </x:c>
      <x:c r="C19" s="158" t="str">
        <x:v>viral PTMs</x:v>
      </x:c>
      <x:c r="D19" s="158" t="str">
        <x:v>manually checked experimental viral sites from 150 papers</x:v>
      </x:c>
      <x:c r="E19" s="159" t="str">
        <x:v>live but aging</x:v>
      </x:c>
      <x:c r="F19" s="159" t="str">
        <x:v>data cutoff before 2020-01-01; paper 2020</x:v>
      </x:c>
      <x:c r="G19" s="170" t="n">
        <x:v>818</x:v>
      </x:c>
      <x:c r="H19" s="158" t="str">
        <x:v>manually curated experimental sites</x:v>
      </x:c>
      <x:c r="I19" s="184" t="str">
        <x:v>https://academic.oup.com/bib/article/22/4/bbaa251/5935500</x:v>
      </x:c>
      <x:c r="J19" s="159" t="str">
        <x:v>2026-08-14</x:v>
      </x:c>
      <x:c r="K19" s="158" t="str">
        <x:v>free browse/download; explicit dataset license not verified</x:v>
      </x:c>
      <x:c r="L19" s="158" t="str">
        <x:v>Subset of the 1,240 viral-site total.</x:v>
      </x:c>
    </x:row>
    <x:row r="20" ht="33" customHeight="1">
      <x:c r="A20" s="150" t="str">
        <x:v>VPTMdb</x:v>
      </x:c>
      <x:c r="B20" s="150" t="str">
        <x:v>dedicated mixed-source viral PTM database</x:v>
      </x:c>
      <x:c r="C20" s="150" t="str">
        <x:v>viral PTMs</x:v>
      </x:c>
      <x:c r="D20" s="150" t="str">
        <x:v>viral sites imported from UniProtKB/Swiss-Prot</x:v>
      </x:c>
      <x:c r="E20" s="151" t="str">
        <x:v>live but aging</x:v>
      </x:c>
      <x:c r="F20" s="151" t="str">
        <x:v>data cutoff before 2020-01-01; paper 2020</x:v>
      </x:c>
      <x:c r="G20" s="168" t="n">
        <x:v>422</x:v>
      </x:c>
      <x:c r="H20" s="150" t="str">
        <x:v>database-derived sites</x:v>
      </x:c>
      <x:c r="I20" s="185" t="str">
        <x:v>https://academic.oup.com/bib/article/22/4/bbaa251/5935500</x:v>
      </x:c>
      <x:c r="J20" s="151" t="str">
        <x:v>2026-08-14</x:v>
      </x:c>
      <x:c r="K20" s="150" t="str">
        <x:v>free browse/download; explicit dataset license not verified</x:v>
      </x:c>
      <x:c r="L20" s="150" t="str">
        <x:v>Subset of the 1,240 viral-site total; not independently manual-curated by VPTMdb.</x:v>
      </x:c>
    </x:row>
    <x:row r="21" ht="33" customHeight="1">
      <x:c r="A21" s="158" t="str">
        <x:v>Human SUMO PeptideAtlas/PTMeXchange</x:v>
      </x:c>
      <x:c r="B21" s="158" t="str">
        <x:v>experimental PTM evidence build</x:v>
      </x:c>
      <x:c r="C21" s="158" t="str">
        <x:v>SUMOylation</x:v>
      </x:c>
      <x:c r="D21" s="158" t="str">
        <x:v>sites passing less than 5% FLR in at least one dataset</x:v>
      </x:c>
      <x:c r="E21" s="159" t="str">
        <x:v>live/current</x:v>
      </x:c>
      <x:c r="F21" s="159" t="str">
        <x:v>build 2025-02; peer-reviewed paper 2026</x:v>
      </x:c>
      <x:c r="G21" s="170" t="n">
        <x:v>35721</x:v>
      </x:c>
      <x:c r="H21" s="158" t="str">
        <x:v>SUMOylated sites</x:v>
      </x:c>
      <x:c r="I21" s="184" t="str">
        <x:v>https://www.sciencedirect.com/science/article/pii/S1535947626000678</x:v>
      </x:c>
      <x:c r="J21" s="159" t="str">
        <x:v>2026-08-14</x:v>
      </x:c>
      <x:c r="K21" s="158" t="str">
        <x:v>public browse/download with USI traceability; native per-build license unclear</x:v>
      </x:c>
      <x:c r="L21" s="158" t="str">
        <x:v>Evidence compendium rather than manual functional-effect curation.</x:v>
      </x:c>
    </x:row>
    <x:row r="22" ht="33" customHeight="1">
      <x:c r="A22" s="150" t="str">
        <x:v>Human SUMO PeptideAtlas/PTMeXchange</x:v>
      </x:c>
      <x:c r="B22" s="150" t="str">
        <x:v>experimental PTM evidence build</x:v>
      </x:c>
      <x:c r="C22" s="150" t="str">
        <x:v>SUMOylation</x:v>
      </x:c>
      <x:c r="D22" s="150" t="str">
        <x:v>proteins represented by accepted sites</x:v>
      </x:c>
      <x:c r="E22" s="151" t="str">
        <x:v>live/current</x:v>
      </x:c>
      <x:c r="F22" s="151" t="str">
        <x:v>build 2025-02; peer-reviewed paper 2026</x:v>
      </x:c>
      <x:c r="G22" s="168" t="n">
        <x:v>6146</x:v>
      </x:c>
      <x:c r="H22" s="150" t="str">
        <x:v>SUMOylated proteins</x:v>
      </x:c>
      <x:c r="I22" s="185" t="str">
        <x:v>https://www.sciencedirect.com/science/article/pii/S1535947626000678</x:v>
      </x:c>
      <x:c r="J22" s="151" t="str">
        <x:v>2026-08-14</x:v>
      </x:c>
      <x:c r="K22" s="150" t="str">
        <x:v>public browse/download with USI traceability; native per-build license unclear</x:v>
      </x:c>
      <x:c r="L22" s="150" t="str">
        <x:v>Protein denominator is not additive with site denominator.</x:v>
      </x:c>
    </x:row>
    <x:row r="23" ht="33" customHeight="1">
      <x:c r="A23" s="158" t="str">
        <x:v>Human Ubiquitination PeptideAtlas/PTMeXchange</x:v>
      </x:c>
      <x:c r="B23" s="158" t="str">
        <x:v>experimental PTM evidence build</x:v>
      </x:c>
      <x:c r="C23" s="158" t="str">
        <x:v>ubiquitination</x:v>
      </x:c>
      <x:c r="D23" s="158" t="str">
        <x:v>target lysine site rows in official summary file</x:v>
      </x:c>
      <x:c r="E23" s="159" t="str">
        <x:v>live/current</x:v>
      </x:c>
      <x:c r="F23" s="159" t="str">
        <x:v>build 2025-11; public release 2026-04-01</x:v>
      </x:c>
      <x:c r="G23" s="170" t="n">
        <x:v>115447</x:v>
      </x:c>
      <x:c r="H23" s="158" t="str">
        <x:v>unique protein-position-residue target site rows</x:v>
      </x:c>
      <x:c r="I23" s="184" t="str">
        <x:v>https://www.proteomexchange.org/ptmexchange/Files/Human_GSB_Ubiq_all_prots_1106.csv.gz</x:v>
      </x:c>
      <x:c r="J23" s="159" t="str">
        <x:v>2026-08-14</x:v>
      </x:c>
      <x:c r="K23" s="158" t="str">
        <x:v>public download; native per-build license unclear</x:v>
      </x:c>
      <x:c r="L23" s="158" t="str">
        <x:v>Audit-derived exact count from official file; excludes 7,498 alanine decoy rows. Evidence compendium, not functional-effect curation.</x:v>
      </x:c>
    </x:row>
    <x:row r="24" ht="33" customHeight="1">
      <x:c r="A24" s="150" t="str">
        <x:v>Human Ubiquitination PeptideAtlas/PTMeXchange</x:v>
      </x:c>
      <x:c r="B24" s="150" t="str">
        <x:v>experimental PTM evidence build</x:v>
      </x:c>
      <x:c r="C24" s="150" t="str">
        <x:v>ubiquitination</x:v>
      </x:c>
      <x:c r="D24" s="150" t="str">
        <x:v>Gold FLR tier</x:v>
      </x:c>
      <x:c r="E24" s="151" t="str">
        <x:v>live/current</x:v>
      </x:c>
      <x:c r="F24" s="151" t="str">
        <x:v>build 2025-11; public release 2026-04-01</x:v>
      </x:c>
      <x:c r="G24" s="168" t="n">
        <x:v>44191</x:v>
      </x:c>
      <x:c r="H24" s="150" t="str">
        <x:v>Gold-tier target sites</x:v>
      </x:c>
      <x:c r="I24" s="185" t="str">
        <x:v>https://www.proteomexchange.org/ptmexchange/Files/Human_GSB_Ubiq_all_prots_1106.csv.gz</x:v>
      </x:c>
      <x:c r="J24" s="151" t="str">
        <x:v>2026-08-14</x:v>
      </x:c>
      <x:c r="K24" s="150" t="str">
        <x:v>public download; native per-build license unclear</x:v>
      </x:c>
      <x:c r="L24" s="150" t="str">
        <x:v>Audit-derived from official file; tier is a quality classification.</x:v>
      </x:c>
    </x:row>
    <x:row r="25" ht="33" customHeight="1">
      <x:c r="A25" s="158" t="str">
        <x:v>Human Ubiquitination PeptideAtlas/PTMeXchange</x:v>
      </x:c>
      <x:c r="B25" s="158" t="str">
        <x:v>experimental PTM evidence build</x:v>
      </x:c>
      <x:c r="C25" s="158" t="str">
        <x:v>ubiquitination</x:v>
      </x:c>
      <x:c r="D25" s="158" t="str">
        <x:v>Silver FLR tier</x:v>
      </x:c>
      <x:c r="E25" s="159" t="str">
        <x:v>live/current</x:v>
      </x:c>
      <x:c r="F25" s="159" t="str">
        <x:v>build 2025-11; public release 2026-04-01</x:v>
      </x:c>
      <x:c r="G25" s="170" t="n">
        <x:v>37451</x:v>
      </x:c>
      <x:c r="H25" s="158" t="str">
        <x:v>Silver-tier target sites</x:v>
      </x:c>
      <x:c r="I25" s="184" t="str">
        <x:v>https://www.proteomexchange.org/ptmexchange/Files/Human_GSB_Ubiq_all_prots_1106.csv.gz</x:v>
      </x:c>
      <x:c r="J25" s="159" t="str">
        <x:v>2026-08-14</x:v>
      </x:c>
      <x:c r="K25" s="158" t="str">
        <x:v>public download; native per-build license unclear</x:v>
      </x:c>
      <x:c r="L25" s="158" t="str">
        <x:v>Audit-derived from official file; tier is a quality classification.</x:v>
      </x:c>
    </x:row>
    <x:row r="26" ht="33" customHeight="1">
      <x:c r="A26" s="150" t="str">
        <x:v>Human Ubiquitination PeptideAtlas/PTMeXchange</x:v>
      </x:c>
      <x:c r="B26" s="150" t="str">
        <x:v>experimental PTM evidence build</x:v>
      </x:c>
      <x:c r="C26" s="150" t="str">
        <x:v>ubiquitination</x:v>
      </x:c>
      <x:c r="D26" s="150" t="str">
        <x:v>Bronze FLR tier</x:v>
      </x:c>
      <x:c r="E26" s="151" t="str">
        <x:v>live/current</x:v>
      </x:c>
      <x:c r="F26" s="151" t="str">
        <x:v>build 2025-11; public release 2026-04-01</x:v>
      </x:c>
      <x:c r="G26" s="168" t="n">
        <x:v>33805</x:v>
      </x:c>
      <x:c r="H26" s="150" t="str">
        <x:v>Bronze-tier target sites</x:v>
      </x:c>
      <x:c r="I26" s="185" t="str">
        <x:v>https://www.proteomexchange.org/ptmexchange/Files/Human_GSB_Ubiq_all_prots_1106.csv.gz</x:v>
      </x:c>
      <x:c r="J26" s="151" t="str">
        <x:v>2026-08-14</x:v>
      </x:c>
      <x:c r="K26" s="150" t="str">
        <x:v>public download; native per-build license unclear</x:v>
      </x:c>
      <x:c r="L26" s="150" t="str">
        <x:v>Audit-derived from official file; tier is a quality classification.</x:v>
      </x:c>
    </x:row>
    <x:row r="27" ht="33" customHeight="1">
      <x:c r="A27" s="158" t="str">
        <x:v>Ubitome</x:v>
      </x:c>
      <x:c r="B27" s="158" t="str">
        <x:v>dedicated ubiquitination site/protein database</x:v>
      </x:c>
      <x:c r="C27" s="158" t="str">
        <x:v>ubiquitination</x:v>
      </x:c>
      <x:c r="D27" s="158" t="str">
        <x:v>ubiquitination sites</x:v>
      </x:c>
      <x:c r="E27" s="159" t="str">
        <x:v>live but stale/technical TLS issue</x:v>
      </x:c>
      <x:c r="F27" s="159" t="str">
        <x:v>data files dated 2021-04</x:v>
      </x:c>
      <x:c r="G27" s="170" t="n">
        <x:v>16622</x:v>
      </x:c>
      <x:c r="H27" s="158" t="str">
        <x:v>ubiquitination sites</x:v>
      </x:c>
      <x:c r="I27" s="184" t="str">
        <x:v>https://ubitome.erc.monash.edu.au/</x:v>
      </x:c>
      <x:c r="J27" s="159" t="str">
        <x:v>2026-08-14</x:v>
      </x:c>
      <x:c r="K27" s="158" t="str">
        <x:v>bulk ZIP download; explicit dataset license not verified</x:v>
      </x:c>
      <x:c r="L27" s="158" t="str">
        <x:v>Counts exactly match downloaded files; TLS certificate was expired at access.</x:v>
      </x:c>
    </x:row>
    <x:row r="28" ht="33" customHeight="1">
      <x:c r="A28" s="150" t="str">
        <x:v>Ubitome</x:v>
      </x:c>
      <x:c r="B28" s="150" t="str">
        <x:v>dedicated ubiquitination site/protein database</x:v>
      </x:c>
      <x:c r="C28" s="150" t="str">
        <x:v>ubiquitination</x:v>
      </x:c>
      <x:c r="D28" s="150" t="str">
        <x:v>proteins represented</x:v>
      </x:c>
      <x:c r="E28" s="151" t="str">
        <x:v>live but stale/technical TLS issue</x:v>
      </x:c>
      <x:c r="F28" s="151" t="str">
        <x:v>data files dated 2021-04</x:v>
      </x:c>
      <x:c r="G28" s="168" t="n">
        <x:v>4807</x:v>
      </x:c>
      <x:c r="H28" s="150" t="str">
        <x:v>proteins</x:v>
      </x:c>
      <x:c r="I28" s="185" t="str">
        <x:v>https://ubitome.erc.monash.edu.au/</x:v>
      </x:c>
      <x:c r="J28" s="151" t="str">
        <x:v>2026-08-14</x:v>
      </x:c>
      <x:c r="K28" s="150" t="str">
        <x:v>bulk ZIP download; explicit dataset license not verified</x:v>
      </x:c>
      <x:c r="L28" s="150" t="str">
        <x:v>Protein count is not additive with site count.</x:v>
      </x:c>
    </x:row>
    <x:row r="29" ht="33" customHeight="1">
      <x:c r="A29" s="158" t="str">
        <x:v>mUbiSiDa</x:v>
      </x:c>
      <x:c r="B29" s="158" t="str">
        <x:v>dedicated mammalian ubiquitination site database</x:v>
      </x:c>
      <x:c r="C29" s="158" t="str">
        <x:v>ubiquitination</x:v>
      </x:c>
      <x:c r="D29" s="158" t="str">
        <x:v>experimentally validated ubiquitination sites</x:v>
      </x:c>
      <x:c r="E29" s="159" t="str">
        <x:v>retired/unavailable</x:v>
      </x:c>
      <x:c r="F29" s="159" t="n">
        <x:v>2014</x:v>
      </x:c>
      <x:c r="G29" s="170" t="n">
        <x:v>110976</x:v>
      </x:c>
      <x:c r="H29" s="158" t="str">
        <x:v>ubiquitination sites</x:v>
      </x:c>
      <x:c r="I29" s="184" t="str">
        <x:v>https://pmc.ncbi.nlm.nih.gov/articles/PMC3894998/</x:v>
      </x:c>
      <x:c r="J29" s="159" t="str">
        <x:v>2026-08-14</x:v>
      </x:c>
      <x:c r="K29" s="158" t="str">
        <x:v>historically free; explicit dataset license not verified</x:v>
      </x:c>
      <x:c r="L29" s="158" t="str">
        <x:v>Historical five-species snapshot; original server unavailable.</x:v>
      </x:c>
    </x:row>
    <x:row r="30" ht="33" customHeight="1">
      <x:c r="A30" s="150" t="str">
        <x:v>mUbiSiDa</x:v>
      </x:c>
      <x:c r="B30" s="150" t="str">
        <x:v>dedicated mammalian ubiquitination site database</x:v>
      </x:c>
      <x:c r="C30" s="150" t="str">
        <x:v>ubiquitination</x:v>
      </x:c>
      <x:c r="D30" s="150" t="str">
        <x:v>experimentally validated ubiquitinated proteins as reported by authors</x:v>
      </x:c>
      <x:c r="E30" s="151" t="str">
        <x:v>retired/unavailable</x:v>
      </x:c>
      <x:c r="F30" s="151" t="n">
        <x:v>2014</x:v>
      </x:c>
      <x:c r="G30" s="168" t="n">
        <x:v>35494</x:v>
      </x:c>
      <x:c r="H30" s="150" t="str">
        <x:v>proteins</x:v>
      </x:c>
      <x:c r="I30" s="185" t="str">
        <x:v>https://pmc.ncbi.nlm.nih.gov/articles/PMC3894998/</x:v>
      </x:c>
      <x:c r="J30" s="151" t="str">
        <x:v>2026-08-14</x:v>
      </x:c>
      <x:c r="K30" s="150" t="str">
        <x:v>historically free; explicit dataset license not verified</x:v>
      </x:c>
      <x:c r="L30" s="150" t="str">
        <x:v>Authors' protein wording/count is unusually high; preserve the reported unit rather than reinterpret it.</x:v>
      </x:c>
    </x:row>
    <x:row r="31" ht="33" customHeight="1">
      <x:c r="A31" s="158" t="str">
        <x:v>UbiProt</x:v>
      </x:c>
      <x:c r="B31" s="158" t="str">
        <x:v>ubiquitylated-protein knowledgebase</x:v>
      </x:c>
      <x:c r="C31" s="158" t="str">
        <x:v>ubiquitination</x:v>
      </x:c>
      <x:c r="D31" s="158" t="str">
        <x:v>individual ubiquitylated proteins</x:v>
      </x:c>
      <x:c r="E31" s="159" t="str">
        <x:v>retired/unavailable</x:v>
      </x:c>
      <x:c r="F31" s="159" t="n">
        <x:v>2007</x:v>
      </x:c>
      <x:c r="G31" s="170" t="n">
        <x:v>400</x:v>
      </x:c>
      <x:c r="H31" s="158" t="str">
        <x:v>ubiquitylated proteins</x:v>
      </x:c>
      <x:c r="I31" s="184" t="str">
        <x:v>https://pmc.ncbi.nlm.nih.gov/articles/PMC1855352/</x:v>
      </x:c>
      <x:c r="J31" s="159" t="str">
        <x:v>2026-08-14</x:v>
      </x:c>
      <x:c r="K31" s="158" t="str">
        <x:v>historically free for non-commercial use; commercial use required contact</x:v>
      </x:c>
      <x:c r="L31" s="158" t="str">
        <x:v>Protein-level knowledgebase; not consistently residue-site resolved.</x:v>
      </x:c>
    </x:row>
    <x:row r="32" ht="33" customHeight="1">
      <x:c r="A32" s="150" t="str">
        <x:v>UbiNet 1.0</x:v>
      </x:c>
      <x:c r="B32" s="150" t="str">
        <x:v>mixed site and network resource</x:v>
      </x:c>
      <x:c r="C32" s="150" t="str">
        <x:v>ubiquitination</x:v>
      </x:c>
      <x:c r="D32" s="150" t="str">
        <x:v>experimentally verified ubiquitination sites</x:v>
      </x:c>
      <x:c r="E32" s="151" t="str">
        <x:v>retired/superseded</x:v>
      </x:c>
      <x:c r="F32" s="151" t="n">
        <x:v>2016</x:v>
      </x:c>
      <x:c r="G32" s="168" t="n">
        <x:v>43948</x:v>
      </x:c>
      <x:c r="H32" s="150" t="str">
        <x:v>ubiquitination sites</x:v>
      </x:c>
      <x:c r="I32" s="185" t="str">
        <x:v>https://pmc.ncbi.nlm.nih.gov/articles/PMC4843525/</x:v>
      </x:c>
      <x:c r="J32" s="151" t="str">
        <x:v>2026-08-14</x:v>
      </x:c>
      <x:c r="K32" s="150" t="str">
        <x:v>paper open access; explicit dataset license not verified</x:v>
      </x:c>
      <x:c r="L32" s="150" t="str">
        <x:v>Mixed site atlas and network resource; do not substitute later UbiNet 2.0 interaction counts.</x:v>
      </x:c>
    </x:row>
    <x:row r="33" ht="33" customHeight="1">
      <x:c r="A33" s="158" t="str">
        <x:v>UbiNet 1.0</x:v>
      </x:c>
      <x:c r="B33" s="158" t="str">
        <x:v>mixed site and network resource</x:v>
      </x:c>
      <x:c r="C33" s="158" t="str">
        <x:v>ubiquitination</x:v>
      </x:c>
      <x:c r="D33" s="158" t="str">
        <x:v>human proteins with verified sites</x:v>
      </x:c>
      <x:c r="E33" s="159" t="str">
        <x:v>retired/superseded</x:v>
      </x:c>
      <x:c r="F33" s="159" t="n">
        <x:v>2016</x:v>
      </x:c>
      <x:c r="G33" s="170" t="n">
        <x:v>14692</x:v>
      </x:c>
      <x:c r="H33" s="158" t="str">
        <x:v>human proteins</x:v>
      </x:c>
      <x:c r="I33" s="184" t="str">
        <x:v>https://pmc.ncbi.nlm.nih.gov/articles/PMC4843525/</x:v>
      </x:c>
      <x:c r="J33" s="159" t="str">
        <x:v>2026-08-14</x:v>
      </x:c>
      <x:c r="K33" s="158" t="str">
        <x:v>paper open access; explicit dataset license not verified</x:v>
      </x:c>
      <x:c r="L33" s="158" t="str">
        <x:v>Protein denominator is not additive with sites.</x:v>
      </x:c>
    </x:row>
    <x:row r="34" ht="33" customHeight="1">
      <x:c r="A34" s="150" t="str">
        <x:v>UbiNet 2.0</x:v>
      </x:c>
      <x:c r="B34" s="150" t="str">
        <x:v>E3-substrate relation database</x:v>
      </x:c>
      <x:c r="C34" s="150" t="str">
        <x:v>ubiquitination</x:v>
      </x:c>
      <x:c r="D34" s="150" t="str">
        <x:v>experimentally verified E3-substrate interactions</x:v>
      </x:c>
      <x:c r="E34" s="151" t="str">
        <x:v>endpoint unavailable</x:v>
      </x:c>
      <x:c r="F34" s="151" t="str">
        <x:v>data cutoff 2020-06-08; paper 2021</x:v>
      </x:c>
      <x:c r="G34" s="168" t="n">
        <x:v>3332</x:v>
      </x:c>
      <x:c r="H34" s="150" t="str">
        <x:v>E3-substrate interactions</x:v>
      </x:c>
      <x:c r="I34" s="185" t="str">
        <x:v>https://pmc.ncbi.nlm.nih.gov/articles/PMC7947570/</x:v>
      </x:c>
      <x:c r="J34" s="151" t="str">
        <x:v>2026-08-14</x:v>
      </x:c>
      <x:c r="K34" s="150" t="str">
        <x:v>article CC BY 4.0; explicit dataset license not verified</x:v>
      </x:c>
      <x:c r="L34" s="150" t="str">
        <x:v>Relation records across 54 organisms, not PTM sites; original endpoint now returns 404.</x:v>
      </x:c>
    </x:row>
    <x:row r="35" ht="33" customHeight="1">
      <x:c r="A35" s="158" t="str">
        <x:v>iUUCD 2.0</x:v>
      </x:c>
      <x:c r="B35" s="158" t="str">
        <x:v>ubiquitin/UBL enzyme-family catalog</x:v>
      </x:c>
      <x:c r="C35" s="158" t="str">
        <x:v>protein-tag conjugation systems</x:v>
      </x:c>
      <x:c r="D35" s="158" t="str">
        <x:v>predicted/annotated ubiquitin and ubiquitin-like regulators</x:v>
      </x:c>
      <x:c r="E35" s="159" t="str">
        <x:v>endpoint broken</x:v>
      </x:c>
      <x:c r="F35" s="159" t="str">
        <x:v>paper 2018</x:v>
      </x:c>
      <x:c r="G35" s="170" t="n">
        <x:v>136512</x:v>
      </x:c>
      <x:c r="H35" s="158" t="str">
        <x:v>UB/UBL regulators</x:v>
      </x:c>
      <x:c r="I35" s="184" t="str">
        <x:v>https://pmc.ncbi.nlm.nih.gov/articles/PMC5753239/</x:v>
      </x:c>
      <x:c r="J35" s="159" t="str">
        <x:v>2026-08-14</x:v>
      </x:c>
      <x:c r="K35" s="158" t="str">
        <x:v>historically free web/download; explicit dataset license not verified</x:v>
      </x:c>
      <x:c r="L35" s="158" t="str">
        <x:v>Genome-wide HMM family identifications across 148 eukaryotes; not experimental substrate sites.</x:v>
      </x:c>
    </x:row>
    <x:row r="36" ht="33" customHeight="1">
      <x:c r="A36" s="150" t="str">
        <x:v>CoFactor database</x:v>
      </x:c>
      <x:c r="B36" s="150" t="str">
        <x:v>cofactor/enzyme knowledgebase</x:v>
      </x:c>
      <x:c r="C36" s="150" t="str">
        <x:v>covalent cofactors</x:v>
      </x:c>
      <x:c r="D36" s="150" t="str">
        <x:v>hand-curated organic cofactor records</x:v>
      </x:c>
      <x:c r="E36" s="151" t="str">
        <x:v>live static/aging</x:v>
      </x:c>
      <x:c r="F36" s="151" t="n">
        <x:v>2010</x:v>
      </x:c>
      <x:c r="G36" s="168" t="n">
        <x:v>27</x:v>
      </x:c>
      <x:c r="H36" s="150" t="str">
        <x:v>cofactor entries</x:v>
      </x:c>
      <x:c r="I36" s="185" t="str">
        <x:v>https://www.ebi.ac.uk/thornton-srv/databases/CoFactor/</x:v>
      </x:c>
      <x:c r="J36" s="151" t="str">
        <x:v>2026-08-14</x:v>
      </x:c>
      <x:c r="K36" s="150" t="str">
        <x:v>public web access; article CC BY-NC 2.5; site dataset license not verified</x:v>
      </x:c>
      <x:c r="L36" s="150" t="str">
        <x:v>Compound/mechanism resource; not a PTM observation or residue-site database.</x:v>
      </x:c>
    </x:row>
    <x:row r="37" ht="33" customHeight="1">
      <x:c r="A37" s="158" t="str">
        <x:v>M-CSA</x:v>
      </x:c>
      <x:c r="B37" s="158" t="str">
        <x:v>current catalytic mechanism/structure database</x:v>
      </x:c>
      <x:c r="C37" s="158" t="str">
        <x:v>covalent cofactors and catalytic residue PTMs</x:v>
      </x:c>
      <x:c r="D37" s="158" t="str">
        <x:v>curated enzyme-mechanism entries in live API</x:v>
      </x:c>
      <x:c r="E37" s="159" t="str">
        <x:v>live</x:v>
      </x:c>
      <x:c r="F37" s="159" t="str">
        <x:v>live API snapshot 2026-08-14</x:v>
      </x:c>
      <x:c r="G37" s="170" t="n">
        <x:v>1003</x:v>
      </x:c>
      <x:c r="H37" s="158" t="str">
        <x:v>mechanism entries</x:v>
      </x:c>
      <x:c r="I37" s="184" t="str">
        <x:v>https://www.ebi.ac.uk/thornton-srv/m-csa/api/entries/?format=json</x:v>
      </x:c>
      <x:c r="J37" s="159" t="str">
        <x:v>2026-08-14</x:v>
      </x:c>
      <x:c r="K37" s="158" t="str">
        <x:v>public API/download; CC BY 4.0</x:v>
      </x:c>
      <x:c r="L37" s="158" t="str">
        <x:v>Not a dedicated PTM observation atlas.</x:v>
      </x:c>
    </x:row>
    <x:row r="38" ht="33" customHeight="1">
      <x:c r="A38" s="150" t="str">
        <x:v>M-CSA</x:v>
      </x:c>
      <x:c r="B38" s="150" t="str">
        <x:v>current catalytic mechanism/structure database</x:v>
      </x:c>
      <x:c r="C38" s="150" t="str">
        <x:v>covalent cofactors and catalytic residue PTMs</x:v>
      </x:c>
      <x:c r="D38" s="150" t="str">
        <x:v>curated catalytic residue records in live API</x:v>
      </x:c>
      <x:c r="E38" s="151" t="str">
        <x:v>live</x:v>
      </x:c>
      <x:c r="F38" s="151" t="str">
        <x:v>live API snapshot 2026-08-14</x:v>
      </x:c>
      <x:c r="G38" s="168" t="n">
        <x:v>5248</x:v>
      </x:c>
      <x:c r="H38" s="150" t="str">
        <x:v>catalytic residue records</x:v>
      </x:c>
      <x:c r="I38" s="185" t="str">
        <x:v>https://www.ebi.ac.uk/thornton-srv/m-csa/api/residues/?format=json</x:v>
      </x:c>
      <x:c r="J38" s="151" t="str">
        <x:v>2026-08-14</x:v>
      </x:c>
      <x:c r="K38" s="150" t="str">
        <x:v>public API/download; CC BY 4.0</x:v>
      </x:c>
      <x:c r="L38" s="150" t="str">
        <x:v>Residue records are mechanism annotations, not PTM-site observations.</x:v>
      </x:c>
    </x:row>
    <x:row r="39" ht="33" customHeight="1">
      <x:c r="A39" s="158" t="str">
        <x:v>M-CSA</x:v>
      </x:c>
      <x:c r="B39" s="158" t="str">
        <x:v>current catalytic mechanism/structure database</x:v>
      </x:c>
      <x:c r="C39" s="158" t="str">
        <x:v>covalent cofactors and catalytic residue PTMs</x:v>
      </x:c>
      <x:c r="D39" s="158" t="str">
        <x:v>residue records with nonblank PTM field</x:v>
      </x:c>
      <x:c r="E39" s="159" t="str">
        <x:v>live</x:v>
      </x:c>
      <x:c r="F39" s="159" t="str">
        <x:v>live API snapshot 2026-08-14</x:v>
      </x:c>
      <x:c r="G39" s="170" t="n">
        <x:v>27</x:v>
      </x:c>
      <x:c r="H39" s="158" t="str">
        <x:v>PTM-bearing catalytic residue records</x:v>
      </x:c>
      <x:c r="I39" s="184" t="str">
        <x:v>https://www.ebi.ac.uk/thornton-srv/m-csa/api/residues/?format=json</x:v>
      </x:c>
      <x:c r="J39" s="159" t="str">
        <x:v>2026-08-14</x:v>
      </x:c>
      <x:c r="K39" s="158" t="str">
        <x:v>public API/download; CC BY 4.0</x:v>
      </x:c>
      <x:c r="L39" s="158" t="str">
        <x:v>Audit-derived count across 14 PDB residue codes; structural/mechanistic records, not a dedicated PTM site atlas.</x:v>
      </x:c>
    </x:row>
    <x:row r="40" ht="33" customHeight="1">
      <x:c r="A40" s="150" t="str">
        <x:v>dbPTM 2025</x:v>
      </x:c>
      <x:c r="B40" s="150" t="str">
        <x:v>general PTM aggregator</x:v>
      </x:c>
      <x:c r="C40" s="150" t="str">
        <x:v>biotinylation</x:v>
      </x:c>
      <x:c r="D40" s="150" t="str">
        <x:v>experimental rare-family coverage</x:v>
      </x:c>
      <x:c r="E40" s="151" t="str">
        <x:v>live/current</x:v>
      </x:c>
      <x:c r="F40" s="151" t="n">
        <x:v>2025</x:v>
      </x:c>
      <x:c r="G40" s="168" t="n">
        <x:v>12</x:v>
      </x:c>
      <x:c r="H40" s="150" t="str">
        <x:v>experimental biotinylation sites</x:v>
      </x:c>
      <x:c r="I40" s="185" t="str">
        <x:v>https://biomics.lab.nycu.edu.tw/dbPTM/download.php</x:v>
      </x:c>
      <x:c r="J40" s="151" t="str">
        <x:v>2026-08-14</x:v>
      </x:c>
      <x:c r="K40" s="150" t="str">
        <x:v>public web/download; check source-specific terms</x:v>
      </x:c>
      <x:c r="L40" s="150" t="str">
        <x:v>Official download table; adjacent literature count is 12 and must not be mistaken for proteins.</x:v>
      </x:c>
    </x:row>
    <x:row r="41" ht="33" customHeight="1">
      <x:c r="A41" s="158" t="str">
        <x:v>dbPTM 2025</x:v>
      </x:c>
      <x:c r="B41" s="158" t="str">
        <x:v>general PTM aggregator</x:v>
      </x:c>
      <x:c r="C41" s="158" t="str">
        <x:v>lipoylation</x:v>
      </x:c>
      <x:c r="D41" s="158" t="str">
        <x:v>experimental rare-family coverage</x:v>
      </x:c>
      <x:c r="E41" s="159" t="str">
        <x:v>live/current</x:v>
      </x:c>
      <x:c r="F41" s="159" t="n">
        <x:v>2025</x:v>
      </x:c>
      <x:c r="G41" s="170" t="n">
        <x:v>35</x:v>
      </x:c>
      <x:c r="H41" s="158" t="str">
        <x:v>experimental lipoylation sites</x:v>
      </x:c>
      <x:c r="I41" s="184" t="str">
        <x:v>https://biomics.lab.nycu.edu.tw/dbPTM/download.php</x:v>
      </x:c>
      <x:c r="J41" s="159" t="str">
        <x:v>2026-08-14</x:v>
      </x:c>
      <x:c r="K41" s="158" t="str">
        <x:v>public web/download; check source-specific terms</x:v>
      </x:c>
      <x:c r="L41" s="158" t="str">
        <x:v>Official download table; 30 supporting literatures.</x:v>
      </x:c>
    </x:row>
    <x:row r="42" ht="33" customHeight="1">
      <x:c r="A42" s="150" t="str">
        <x:v>dbPTM 2025</x:v>
      </x:c>
      <x:c r="B42" s="150" t="str">
        <x:v>general PTM aggregator</x:v>
      </x:c>
      <x:c r="C42" s="150" t="str">
        <x:v>pyruvate formation</x:v>
      </x:c>
      <x:c r="D42" s="150" t="str">
        <x:v>experimental rare-family coverage</x:v>
      </x:c>
      <x:c r="E42" s="151" t="str">
        <x:v>live/current</x:v>
      </x:c>
      <x:c r="F42" s="151" t="n">
        <x:v>2025</x:v>
      </x:c>
      <x:c r="G42" s="168" t="n">
        <x:v>25</x:v>
      </x:c>
      <x:c r="H42" s="150" t="str">
        <x:v>experimental pyruvate-modification sites</x:v>
      </x:c>
      <x:c r="I42" s="185" t="str">
        <x:v>https://biomics.lab.nycu.edu.tw/dbPTM/download.php</x:v>
      </x:c>
      <x:c r="J42" s="151" t="str">
        <x:v>2026-08-14</x:v>
      </x:c>
      <x:c r="K42" s="150" t="str">
        <x:v>public web/download; check source-specific terms</x:v>
      </x:c>
      <x:c r="L42" s="150" t="str">
        <x:v>Official download table; 21 supporting literatures.</x:v>
      </x:c>
    </x:row>
    <x:row r="43" ht="33" customHeight="1">
      <x:c r="A43" s="158" t="str">
        <x:v>dbPTM 2025</x:v>
      </x:c>
      <x:c r="B43" s="158" t="str">
        <x:v>general PTM aggregator</x:v>
      </x:c>
      <x:c r="C43" s="158" t="str">
        <x:v>pyrrolylation</x:v>
      </x:c>
      <x:c r="D43" s="158" t="str">
        <x:v>experimental rare-family coverage</x:v>
      </x:c>
      <x:c r="E43" s="159" t="str">
        <x:v>live/current</x:v>
      </x:c>
      <x:c r="F43" s="159" t="n">
        <x:v>2025</x:v>
      </x:c>
      <x:c r="G43" s="170" t="n">
        <x:v>1</x:v>
      </x:c>
      <x:c r="H43" s="158" t="str">
        <x:v>experimental pyrrolylation site</x:v>
      </x:c>
      <x:c r="I43" s="184" t="str">
        <x:v>https://biomics.lab.nycu.edu.tw/dbPTM/download.php</x:v>
      </x:c>
      <x:c r="J43" s="159" t="str">
        <x:v>2026-08-14</x:v>
      </x:c>
      <x:c r="K43" s="158" t="str">
        <x:v>public web/download; check source-specific terms</x:v>
      </x:c>
      <x:c r="L43" s="158" t="str">
        <x:v>Official download table; one supporting literature.</x:v>
      </x:c>
    </x:row>
    <x:row r="44" ht="33" customHeight="1">
      <x:c r="A44" s="150" t="str">
        <x:v>dbPTM 2025</x:v>
      </x:c>
      <x:c r="B44" s="150" t="str">
        <x:v>general PTM aggregator</x:v>
      </x:c>
      <x:c r="C44" s="150" t="str">
        <x:v>thiocarboxylation</x:v>
      </x:c>
      <x:c r="D44" s="150" t="str">
        <x:v>experimental rare-family coverage</x:v>
      </x:c>
      <x:c r="E44" s="151" t="str">
        <x:v>live/current</x:v>
      </x:c>
      <x:c r="F44" s="151" t="n">
        <x:v>2025</x:v>
      </x:c>
      <x:c r="G44" s="168" t="n">
        <x:v>13</x:v>
      </x:c>
      <x:c r="H44" s="150" t="str">
        <x:v>experimental thiocarboxylation sites</x:v>
      </x:c>
      <x:c r="I44" s="185" t="str">
        <x:v>https://biomics.lab.nycu.edu.tw/dbPTM/download.php</x:v>
      </x:c>
      <x:c r="J44" s="151" t="str">
        <x:v>2026-08-14</x:v>
      </x:c>
      <x:c r="K44" s="150" t="str">
        <x:v>public web/download; check source-specific terms</x:v>
      </x:c>
      <x:c r="L44" s="150" t="str">
        <x:v>Official download table; 13 supporting literatures.</x:v>
      </x:c>
    </x:row>
    <x:row r="45" ht="33" customHeight="1">
      <x:c r="A45" s="158" t="str">
        <x:v>dbPTM 2025</x:v>
      </x:c>
      <x:c r="B45" s="158" t="str">
        <x:v>general PTM aggregator</x:v>
      </x:c>
      <x:c r="C45" s="158" t="str">
        <x:v>serotonylation</x:v>
      </x:c>
      <x:c r="D45" s="158" t="str">
        <x:v>experimental monoaminylation coverage</x:v>
      </x:c>
      <x:c r="E45" s="159" t="str">
        <x:v>live/current</x:v>
      </x:c>
      <x:c r="F45" s="159" t="n">
        <x:v>2025</x:v>
      </x:c>
      <x:c r="G45" s="170" t="n">
        <x:v>9</x:v>
      </x:c>
      <x:c r="H45" s="158" t="str">
        <x:v>experimental serotonylation sites</x:v>
      </x:c>
      <x:c r="I45" s="184" t="str">
        <x:v>https://biomics.lab.nycu.edu.tw/dbPTM/download.php</x:v>
      </x:c>
      <x:c r="J45" s="159" t="str">
        <x:v>2026-08-14</x:v>
      </x:c>
      <x:c r="K45" s="158" t="str">
        <x:v>public web/download; check source-specific terms</x:v>
      </x:c>
      <x:c r="L45" s="158" t="str">
        <x:v>Only two supporting literatures; no separate dopaminylation, histaminylation, or norepinephrinylation row was found in the experimental download.</x:v>
      </x:c>
    </x:row>
    <x:row r="46" ht="33" customHeight="1">
      <x:c r="A46" s="150" t="str">
        <x:v>dbPTM 2025</x:v>
      </x:c>
      <x:c r="B46" s="150" t="str">
        <x:v>general PTM aggregator</x:v>
      </x:c>
      <x:c r="C46" s="150" t="str">
        <x:v>disulfide bond formation</x:v>
      </x:c>
      <x:c r="D46" s="150" t="str">
        <x:v>experimental rare-family coverage</x:v>
      </x:c>
      <x:c r="E46" s="151" t="str">
        <x:v>live/current</x:v>
      </x:c>
      <x:c r="F46" s="151" t="n">
        <x:v>2025</x:v>
      </x:c>
      <x:c r="G46" s="168" t="n">
        <x:v>6</x:v>
      </x:c>
      <x:c r="H46" s="150" t="str">
        <x:v>experimental disulfide-bond sites</x:v>
      </x:c>
      <x:c r="I46" s="185" t="str">
        <x:v>https://biomics.lab.nycu.edu.tw/dbPTM/download.php</x:v>
      </x:c>
      <x:c r="J46" s="151" t="str">
        <x:v>2026-08-14</x:v>
      </x:c>
      <x:c r="K46" s="150" t="str">
        <x:v>public web/download; check source-specific terms</x:v>
      </x:c>
      <x:c r="L46" s="150" t="str">
        <x:v>Official download table; one supporting literature; denominator is not comparable with PDB structural bonds.</x:v>
      </x:c>
    </x:row>
    <x:row r="47" ht="33" customHeight="1">
      <x:c r="A47" s="158" t="str">
        <x:v>dbPTM 2025</x:v>
      </x:c>
      <x:c r="B47" s="158" t="str">
        <x:v>general PTM aggregator</x:v>
      </x:c>
      <x:c r="C47" s="158" t="str">
        <x:v>isopeptide bond formation</x:v>
      </x:c>
      <x:c r="D47" s="158" t="str">
        <x:v>experimental endogenous crosslink coverage</x:v>
      </x:c>
      <x:c r="E47" s="159" t="str">
        <x:v>live/current</x:v>
      </x:c>
      <x:c r="F47" s="159" t="n">
        <x:v>2025</x:v>
      </x:c>
      <x:c r="G47" s="170" t="n">
        <x:v>29</x:v>
      </x:c>
      <x:c r="H47" s="158" t="str">
        <x:v>experimental isopeptide-bond sites</x:v>
      </x:c>
      <x:c r="I47" s="184" t="str">
        <x:v>https://biomics.lab.nycu.edu.tw/dbPTM/download.php</x:v>
      </x:c>
      <x:c r="J47" s="159" t="str">
        <x:v>2026-08-14</x:v>
      </x:c>
      <x:c r="K47" s="158" t="str">
        <x:v>public web/download; check source-specific terms</x:v>
      </x:c>
      <x:c r="L47" s="158" t="str">
        <x:v>Official download table; 16 supporting literatures; site unit does not encode a residue pair.</x:v>
      </x:c>
    </x:row>
    <x:row r="48" ht="33" customHeight="1">
      <x:c r="A48" s="150" t="str">
        <x:v>dbPTM 2025</x:v>
      </x:c>
      <x:c r="B48" s="150" t="str">
        <x:v>general PTM aggregator</x:v>
      </x:c>
      <x:c r="C48" s="150" t="str">
        <x:v>S-archaeol</x:v>
      </x:c>
      <x:c r="D48" s="150" t="str">
        <x:v>archaeal lipid-related rare-family coverage</x:v>
      </x:c>
      <x:c r="E48" s="151" t="str">
        <x:v>live/current</x:v>
      </x:c>
      <x:c r="F48" s="151" t="n">
        <x:v>2025</x:v>
      </x:c>
      <x:c r="G48" s="168" t="n">
        <x:v>1</x:v>
      </x:c>
      <x:c r="H48" s="150" t="str">
        <x:v>experimental S-archaeol site</x:v>
      </x:c>
      <x:c r="I48" s="185" t="str">
        <x:v>https://biomics.lab.nycu.edu.tw/dbPTM/download.php</x:v>
      </x:c>
      <x:c r="J48" s="151" t="str">
        <x:v>2026-08-14</x:v>
      </x:c>
      <x:c r="K48" s="150" t="str">
        <x:v>public web/download; check source-specific terms</x:v>
      </x:c>
      <x:c r="L48" s="150" t="str">
        <x:v>Official download table; one supporting literature.</x:v>
      </x:c>
    </x:row>
    <x:row r="49" ht="33" customHeight="1">
      <x:c r="A49" s="158" t="str">
        <x:v>TRANSDAB Wiki</x:v>
      </x:c>
      <x:c r="B49" s="158" t="str">
        <x:v>transglutaminase substrate/interaction relation database</x:v>
      </x:c>
      <x:c r="C49" s="158" t="str">
        <x:v>transglutamination and monoamine conjugation context</x:v>
      </x:c>
      <x:c r="D49" s="158" t="str">
        <x:v>wiki content count</x:v>
      </x:c>
      <x:c r="E49" s="159" t="str">
        <x:v>live legacy/frozen</x:v>
      </x:c>
      <x:c r="F49" s="159" t="str">
        <x:v>last modified 2010-11-23</x:v>
      </x:c>
      <x:c r="G49" s="170" t="n">
        <x:v>506</x:v>
      </x:c>
      <x:c r="H49" s="158" t="str">
        <x:v>wiki articles</x:v>
      </x:c>
      <x:c r="I49" s="184" t="str">
        <x:v>http://genomics.dote.hu/mediawiki/index.php/Main_Page</x:v>
      </x:c>
      <x:c r="J49" s="159" t="str">
        <x:v>2026-08-14</x:v>
      </x:c>
      <x:c r="K49" s="158" t="str">
        <x:v>public read access; no explicit dataset license or bulk download verified</x:v>
      </x:c>
      <x:c r="L49" s="158" t="str">
        <x:v>Not 506 substrates or sites. A 2026 review confirms updates ceased in 2010 and no maintained comprehensive TG-focused replacement exists.</x:v>
      </x:c>
    </x:row>
    <x:row r="50" ht="33" customHeight="1">
      <x:c r="A50" s="150" t="str">
        <x:v>TRANSIT</x:v>
      </x:c>
      <x:c r="B50" s="150" t="str">
        <x:v>historical transglutaminase site/resource and predictor</x:v>
      </x:c>
      <x:c r="C50" s="150" t="str">
        <x:v>transglutamination</x:v>
      </x:c>
      <x:c r="D50" s="150" t="str">
        <x:v>reported TG sites/entries</x:v>
      </x:c>
      <x:c r="E50" s="151" t="str">
        <x:v>retired/unavailable</x:v>
      </x:c>
      <x:c r="F50" s="151" t="str">
        <x:v>2008 update</x:v>
      </x:c>
      <x:c r="G50" s="168" t="n">
        <x:v>115</x:v>
      </x:c>
      <x:c r="H50" s="150" t="str">
        <x:v>TG sites or entries as reported</x:v>
      </x:c>
      <x:c r="I50" s="185" t="str">
        <x:v>https://pmc.ncbi.nlm.nih.gov/articles/PMC2242420/</x:v>
      </x:c>
      <x:c r="J50" s="151" t="str">
        <x:v>2026-08-14</x:v>
      </x:c>
      <x:c r="K50" s="150" t="str">
        <x:v>historically public query; no explicit dataset license verified</x:v>
      </x:c>
      <x:c r="L50" s="150" t="str">
        <x:v>Experimental active substrate sequence regions plus similarity-query/prediction utility; original server unavailable.</x:v>
      </x:c>
    </x:row>
    <x:row r="51" ht="33" customHeight="1">
      <x:c r="A51" s="158" t="str">
        <x:v>MEROPS release 12.5</x:v>
      </x:c>
      <x:c r="B51" s="158" t="str">
        <x:v>protease classification and cleavage-relation database</x:v>
      </x:c>
      <x:c r="C51" s="158" t="str">
        <x:v>proteolytic cleavage</x:v>
      </x:c>
      <x:c r="D51" s="158" t="str">
        <x:v>all peptidase-substrate cleavage records summed across official family tables</x:v>
      </x:c>
      <x:c r="E51" s="159" t="str">
        <x:v>live but release aging</x:v>
      </x:c>
      <x:c r="F51" s="159" t="str">
        <x:v>2023-09-08</x:v>
      </x:c>
      <x:c r="G51" s="170" t="n">
        <x:v>126409</x:v>
      </x:c>
      <x:c r="H51" s="158" t="str">
        <x:v>peptidase-substrate cleavage records</x:v>
      </x:c>
      <x:c r="I51" s="184" t="str">
        <x:v>https://www.ebi.ac.uk/merops/whatsnew.shtml</x:v>
      </x:c>
      <x:c r="J51" s="159" t="str">
        <x:v>2026-08-14</x:v>
      </x:c>
      <x:c r="K51" s="158" t="str">
        <x:v>web access; downloadable SQL snapshot; GNU LGPL</x:v>
      </x:c>
      <x:c r="L51" s="158" t="str">
        <x:v>Audit-derived sum: 11,347 physiological + 115,062 nonphysiological records. Mixed protein/peptide/synthetic substrates and evidence; not experimental-only.</x:v>
      </x:c>
    </x:row>
    <x:row r="52" ht="33" customHeight="1">
      <x:c r="A52" s="150" t="str">
        <x:v>MEROPS release 12.5</x:v>
      </x:c>
      <x:c r="B52" s="150" t="str">
        <x:v>protease classification and cleavage-relation database</x:v>
      </x:c>
      <x:c r="C52" s="150" t="str">
        <x:v>proteolytic cleavage</x:v>
      </x:c>
      <x:c r="D52" s="150" t="str">
        <x:v>physiological cleavage relations</x:v>
      </x:c>
      <x:c r="E52" s="151" t="str">
        <x:v>live but release aging</x:v>
      </x:c>
      <x:c r="F52" s="151" t="str">
        <x:v>2023-09-08</x:v>
      </x:c>
      <x:c r="G52" s="168" t="n">
        <x:v>11347</x:v>
      </x:c>
      <x:c r="H52" s="150" t="str">
        <x:v>physiological cleavage records</x:v>
      </x:c>
      <x:c r="I52" s="185" t="str">
        <x:v>https://www.ebi.ac.uk/merops/cgi-bin/substrate_count?action=G</x:v>
      </x:c>
      <x:c r="J52" s="151" t="str">
        <x:v>2026-08-14</x:v>
      </x:c>
      <x:c r="K52" s="150" t="str">
        <x:v>web access; downloadable SQL snapshot; GNU LGPL</x:v>
      </x:c>
      <x:c r="L52" s="150" t="str">
        <x:v>Audit-derived sum across official family tables; relation records, not necessarily unique sites.</x:v>
      </x:c>
    </x:row>
    <x:row r="53" ht="33" customHeight="1">
      <x:c r="A53" s="158" t="str">
        <x:v>MEROPS release 12.5</x:v>
      </x:c>
      <x:c r="B53" s="158" t="str">
        <x:v>protease classification and cleavage-relation database</x:v>
      </x:c>
      <x:c r="C53" s="158" t="str">
        <x:v>proteolytic cleavage</x:v>
      </x:c>
      <x:c r="D53" s="158" t="str">
        <x:v>nonphysiological cleavage relations</x:v>
      </x:c>
      <x:c r="E53" s="159" t="str">
        <x:v>live but release aging</x:v>
      </x:c>
      <x:c r="F53" s="159" t="str">
        <x:v>2023-09-08</x:v>
      </x:c>
      <x:c r="G53" s="170" t="n">
        <x:v>115062</x:v>
      </x:c>
      <x:c r="H53" s="158" t="str">
        <x:v>nonphysiological cleavage records</x:v>
      </x:c>
      <x:c r="I53" s="184" t="str">
        <x:v>https://www.ebi.ac.uk/merops/cgi-bin/substrate_count?action=G</x:v>
      </x:c>
      <x:c r="J53" s="159" t="str">
        <x:v>2026-08-14</x:v>
      </x:c>
      <x:c r="K53" s="158" t="str">
        <x:v>web access; downloadable SQL snapshot; GNU LGPL</x:v>
      </x:c>
      <x:c r="L53" s="158" t="str">
        <x:v>Audit-derived sum across official family tables; includes artificial/assay contexts and is not a physiological PTM count.</x:v>
      </x:c>
    </x:row>
    <x:row r="54" ht="33" customHeight="1">
      <x:c r="A54" s="150" t="str">
        <x:v>CutDB</x:v>
      </x:c>
      <x:c r="B54" s="150" t="str">
        <x:v>protease-substrate-site event/relation database</x:v>
      </x:c>
      <x:c r="C54" s="150" t="str">
        <x:v>proteolytic cleavage</x:v>
      </x:c>
      <x:c r="D54" s="150" t="str">
        <x:v>experimentally observed events in direct filtered extract</x:v>
      </x:c>
      <x:c r="E54" s="151" t="str">
        <x:v>retired/unavailable</x:v>
      </x:c>
      <x:c r="F54" s="151" t="str">
        <x:v>2014 filtered snapshot</x:v>
      </x:c>
      <x:c r="G54" s="168" t="n">
        <x:v>5704</x:v>
      </x:c>
      <x:c r="H54" s="150" t="str">
        <x:v>experimentally observed cleavage events</x:v>
      </x:c>
      <x:c r="I54" s="185" t="str">
        <x:v>https://pmc.ncbi.nlm.nih.gov/articles/PMC3926948/</x:v>
      </x:c>
      <x:c r="J54" s="151" t="str">
        <x:v>2026-08-14</x:v>
      </x:c>
      <x:c r="K54" s="150" t="str">
        <x:v>no live download or explicit dataset license verified</x:v>
      </x:c>
      <x:c r="L54" s="150" t="str">
        <x:v>Filter-specific historical snapshot; not comparable to launch or review totals.</x:v>
      </x:c>
    </x:row>
    <x:row r="55" ht="33" customHeight="1">
      <x:c r="A55" s="158" t="str">
        <x:v>CutDB</x:v>
      </x:c>
      <x:c r="B55" s="158" t="str">
        <x:v>protease-substrate-site event/relation database</x:v>
      </x:c>
      <x:c r="C55" s="158" t="str">
        <x:v>proteolytic cleavage</x:v>
      </x:c>
      <x:c r="D55" s="158" t="str">
        <x:v>unique cleavage positions in direct filtered extract</x:v>
      </x:c>
      <x:c r="E55" s="159" t="str">
        <x:v>retired/unavailable</x:v>
      </x:c>
      <x:c r="F55" s="159" t="str">
        <x:v>2014 filtered snapshot</x:v>
      </x:c>
      <x:c r="G55" s="170" t="n">
        <x:v>4576</x:v>
      </x:c>
      <x:c r="H55" s="158" t="str">
        <x:v>unique cleavage positions</x:v>
      </x:c>
      <x:c r="I55" s="184" t="str">
        <x:v>https://pmc.ncbi.nlm.nih.gov/articles/PMC3926948/</x:v>
      </x:c>
      <x:c r="J55" s="159" t="str">
        <x:v>2026-08-14</x:v>
      </x:c>
      <x:c r="K55" s="158" t="str">
        <x:v>no live download or explicit dataset license verified</x:v>
      </x:c>
      <x:c r="L55" s="158" t="str">
        <x:v>Derived from 5,704 experimentally observed events in 2,062 substrate entries.</x:v>
      </x:c>
    </x:row>
    <x:row r="56" ht="33" customHeight="1">
      <x:c r="A56" s="150" t="str">
        <x:v>DegraBase v1</x:v>
      </x:c>
      <x:c r="B56" s="150" t="str">
        <x:v>experimental N-terminomics repository</x:v>
      </x:c>
      <x:c r="C56" s="150" t="str">
        <x:v>proteolytic cleavage</x:v>
      </x:c>
      <x:c r="D56" s="150" t="str">
        <x:v>unique N termini</x:v>
      </x:c>
      <x:c r="E56" s="151" t="str">
        <x:v>stale/partially unavailable</x:v>
      </x:c>
      <x:c r="F56" s="151" t="n">
        <x:v>2013</x:v>
      </x:c>
      <x:c r="G56" s="168" t="n">
        <x:v>8090</x:v>
      </x:c>
      <x:c r="H56" s="150" t="str">
        <x:v>unique N termini</x:v>
      </x:c>
      <x:c r="I56" s="185" t="str">
        <x:v>https://pmc.ncbi.nlm.nih.gov/articles/PMC3591672/</x:v>
      </x:c>
      <x:c r="J56" s="151" t="str">
        <x:v>2026-08-14</x:v>
      </x:c>
      <x:c r="K56" s="150" t="str">
        <x:v>official page advertises Excel and FileMaker downloads; explicit dataset license not found</x:v>
      </x:c>
      <x:c r="L56" s="150" t="str">
        <x:v>Experimental subtiligase N-terminomics; cleavage positions need not have assigned causal proteases.</x:v>
      </x:c>
    </x:row>
    <x:row r="57" ht="33" customHeight="1">
      <x:c r="A57" s="158" t="str">
        <x:v>DegraBase v1</x:v>
      </x:c>
      <x:c r="B57" s="158" t="str">
        <x:v>experimental N-terminomics repository</x:v>
      </x:c>
      <x:c r="C57" s="158" t="str">
        <x:v>proteolytic cleavage</x:v>
      </x:c>
      <x:c r="D57" s="158" t="str">
        <x:v>human proteins represented</x:v>
      </x:c>
      <x:c r="E57" s="159" t="str">
        <x:v>stale/partially unavailable</x:v>
      </x:c>
      <x:c r="F57" s="159" t="n">
        <x:v>2013</x:v>
      </x:c>
      <x:c r="G57" s="170" t="n">
        <x:v>3206</x:v>
      </x:c>
      <x:c r="H57" s="158" t="str">
        <x:v>human proteins</x:v>
      </x:c>
      <x:c r="I57" s="184" t="str">
        <x:v>https://pmc.ncbi.nlm.nih.gov/articles/PMC3591672/</x:v>
      </x:c>
      <x:c r="J57" s="159" t="str">
        <x:v>2026-08-14</x:v>
      </x:c>
      <x:c r="K57" s="158" t="str">
        <x:v>official page advertises Excel and FileMaker downloads; explicit dataset license not found</x:v>
      </x:c>
      <x:c r="L57" s="158" t="str">
        <x:v>Protein denominator is not additive with N termini.</x:v>
      </x:c>
    </x:row>
    <x:row r="58" ht="33" customHeight="1">
      <x:c r="A58" s="150" t="str">
        <x:v>DegraBase v1</x:v>
      </x:c>
      <x:c r="B58" s="150" t="str">
        <x:v>experimental N-terminomics repository</x:v>
      </x:c>
      <x:c r="C58" s="150" t="str">
        <x:v>proteolytic cleavage</x:v>
      </x:c>
      <x:c r="D58" s="150" t="str">
        <x:v>peptide observations</x:v>
      </x:c>
      <x:c r="E58" s="151" t="str">
        <x:v>stale/partially unavailable</x:v>
      </x:c>
      <x:c r="F58" s="151" t="n">
        <x:v>2013</x:v>
      </x:c>
      <x:c r="G58" s="168" t="n">
        <x:v>26043</x:v>
      </x:c>
      <x:c r="H58" s="150" t="str">
        <x:v>peptide observations</x:v>
      </x:c>
      <x:c r="I58" s="185" t="str">
        <x:v>https://pmc.ncbi.nlm.nih.gov/articles/PMC3591672/</x:v>
      </x:c>
      <x:c r="J58" s="151" t="str">
        <x:v>2026-08-14</x:v>
      </x:c>
      <x:c r="K58" s="150" t="str">
        <x:v>official page advertises Excel and FileMaker downloads; explicit dataset license not found</x:v>
      </x:c>
      <x:c r="L58" s="150" t="str">
        <x:v>Observation count across 44 experiments; not unique sites.</x:v>
      </x:c>
    </x:row>
    <x:row r="59" ht="33" customHeight="1">
      <x:c r="A59" s="158" t="str">
        <x:v>DegraBase v1</x:v>
      </x:c>
      <x:c r="B59" s="158" t="str">
        <x:v>experimental N-terminomics repository</x:v>
      </x:c>
      <x:c r="C59" s="158" t="str">
        <x:v>proteolytic cleavage</x:v>
      </x:c>
      <x:c r="D59" s="158" t="str">
        <x:v>putative caspase sites</x:v>
      </x:c>
      <x:c r="E59" s="159" t="str">
        <x:v>stale/partially unavailable</x:v>
      </x:c>
      <x:c r="F59" s="159" t="n">
        <x:v>2013</x:v>
      </x:c>
      <x:c r="G59" s="170" t="n">
        <x:v>1706</x:v>
      </x:c>
      <x:c r="H59" s="158" t="str">
        <x:v>putative caspase sites</x:v>
      </x:c>
      <x:c r="I59" s="184" t="str">
        <x:v>https://pmc.ncbi.nlm.nih.gov/articles/PMC3591672/</x:v>
      </x:c>
      <x:c r="J59" s="159" t="str">
        <x:v>2026-08-14</x:v>
      </x:c>
      <x:c r="K59" s="158" t="str">
        <x:v>official page advertises Excel and FileMaker downloads; explicit dataset license not found</x:v>
      </x:c>
      <x:c r="L59" s="158" t="str">
        <x:v>Putative subset, not all directly assigned experimental cleavage relations.</x:v>
      </x:c>
    </x:row>
    <x:row r="60" ht="33" customHeight="1">
      <x:c r="A60" s="150" t="str">
        <x:v>CASBAH</x:v>
      </x:c>
      <x:c r="B60" s="150" t="str">
        <x:v>manually curated caspase substrate/site database</x:v>
      </x:c>
      <x:c r="C60" s="150" t="str">
        <x:v>proteolytic cleavage</x:v>
      </x:c>
      <x:c r="D60" s="150" t="str">
        <x:v>experimentally determined cleavage sites in preserved extraction</x:v>
      </x:c>
      <x:c r="E60" s="151" t="str">
        <x:v>retired/unavailable</x:v>
      </x:c>
      <x:c r="F60" s="151" t="str">
        <x:v>2014 preserved extraction of legacy database</x:v>
      </x:c>
      <x:c r="G60" s="168" t="n">
        <x:v>661</x:v>
      </x:c>
      <x:c r="H60" s="150" t="str">
        <x:v>experimentally determined cleavage sites</x:v>
      </x:c>
      <x:c r="I60" s="185" t="str">
        <x:v>https://journals.plos.org/plosone/article?id=10.1371/journal.pone.0110539</x:v>
      </x:c>
      <x:c r="J60" s="151" t="str">
        <x:v>2026-08-14</x:v>
      </x:c>
      <x:c r="K60" s="150" t="str">
        <x:v>preserved data in unrestricted PLOS supplements; original dataset license not found</x:v>
      </x:c>
      <x:c r="L60" s="150" t="str">
        <x:v>Historical mammalian caspase resource; original host unavailable.</x:v>
      </x:c>
    </x:row>
    <x:row r="61" ht="33" customHeight="1">
      <x:c r="A61" s="158" t="str">
        <x:v>CASBAH</x:v>
      </x:c>
      <x:c r="B61" s="158" t="str">
        <x:v>manually curated caspase substrate/site database</x:v>
      </x:c>
      <x:c r="C61" s="158" t="str">
        <x:v>proteolytic cleavage</x:v>
      </x:c>
      <x:c r="D61" s="158" t="str">
        <x:v>unique human proteins in preserved extraction</x:v>
      </x:c>
      <x:c r="E61" s="159" t="str">
        <x:v>retired/unavailable</x:v>
      </x:c>
      <x:c r="F61" s="159" t="str">
        <x:v>2014 preserved extraction of legacy database</x:v>
      </x:c>
      <x:c r="G61" s="170" t="n">
        <x:v>520</x:v>
      </x:c>
      <x:c r="H61" s="158" t="str">
        <x:v>unique human proteins</x:v>
      </x:c>
      <x:c r="I61" s="184" t="str">
        <x:v>https://journals.plos.org/plosone/article?id=10.1371/journal.pone.0110539</x:v>
      </x:c>
      <x:c r="J61" s="159" t="str">
        <x:v>2026-08-14</x:v>
      </x:c>
      <x:c r="K61" s="158" t="str">
        <x:v>preserved data in unrestricted PLOS supplements; original dataset license not found</x:v>
      </x:c>
      <x:c r="L61" s="158" t="str">
        <x:v>Protein denominator is not additive with cleavage sites.</x:v>
      </x:c>
    </x:row>
    <x:row r="62" ht="33" customHeight="1">
      <x:c r="A62" s="150" t="str">
        <x:v>CaspSites</x:v>
      </x:c>
      <x:c r="B62" s="150" t="str">
        <x:v>dedicated experimental human caspase N-terminomics database</x:v>
      </x:c>
      <x:c r="C62" s="150" t="str">
        <x:v>proteolytic cleavage</x:v>
      </x:c>
      <x:c r="D62" s="150" t="str">
        <x:v>unique P1-Asp accession-position pairs in live public data</x:v>
      </x:c>
      <x:c r="E62" s="151" t="str">
        <x:v>live</x:v>
      </x:c>
      <x:c r="F62" s="151" t="str">
        <x:v>live dataset audit 2026-08-14</x:v>
      </x:c>
      <x:c r="G62" s="168" t="n">
        <x:v>3031</x:v>
      </x:c>
      <x:c r="H62" s="150" t="str">
        <x:v>unique P1-Asp cleavage sites</x:v>
      </x:c>
      <x:c r="I62" s="185" t="str">
        <x:v>https://www.caspsites.org/about/</x:v>
      </x:c>
      <x:c r="J62" s="151" t="str">
        <x:v>2026-08-14</x:v>
      </x:c>
      <x:c r="K62" s="150" t="str">
        <x:v>free web/search/export and supplemental XLSX; no explicit redistribution license found</x:v>
      </x:c>
      <x:c r="L62" s="150" t="str">
        <x:v>Audit-derived from live public Mongo data: 44,398 observation rows and 13,518 unique accession-position pairs overall; P1=D restriction yields this grant-safe site count.</x:v>
      </x:c>
    </x:row>
    <x:row r="63" ht="33" customHeight="1">
      <x:c r="A63" s="158" t="str">
        <x:v>CaspSites</x:v>
      </x:c>
      <x:c r="B63" s="158" t="str">
        <x:v>dedicated experimental human caspase N-terminomics database</x:v>
      </x:c>
      <x:c r="C63" s="158" t="str">
        <x:v>proteolytic cleavage</x:v>
      </x:c>
      <x:c r="D63" s="158" t="str">
        <x:v>proteins carrying unique P1-Asp sites</x:v>
      </x:c>
      <x:c r="E63" s="159" t="str">
        <x:v>live</x:v>
      </x:c>
      <x:c r="F63" s="159" t="str">
        <x:v>live dataset audit 2026-08-14</x:v>
      </x:c>
      <x:c r="G63" s="170" t="n">
        <x:v>2022</x:v>
      </x:c>
      <x:c r="H63" s="158" t="str">
        <x:v>proteins</x:v>
      </x:c>
      <x:c r="I63" s="184" t="str">
        <x:v>https://www.caspsites.org/about/</x:v>
      </x:c>
      <x:c r="J63" s="159" t="str">
        <x:v>2026-08-14</x:v>
      </x:c>
      <x:c r="K63" s="158" t="str">
        <x:v>free web/search/export and supplemental XLSX; no explicit redistribution license found</x:v>
      </x:c>
      <x:c r="L63" s="158" t="str">
        <x:v>Audit-derived; protein denominator is not additive with sites.</x:v>
      </x:c>
    </x:row>
    <x:row r="64" ht="33" customHeight="1">
      <x:c r="A64" s="150" t="str">
        <x:v>DICED</x:v>
      </x:c>
      <x:c r="B64" s="150" t="str">
        <x:v>experimental disease N-terminomics/degradomics portal</x:v>
      </x:c>
      <x:c r="C64" s="150" t="str">
        <x:v>proteolytic cleavage</x:v>
      </x:c>
      <x:c r="D64" s="150" t="str">
        <x:v>global site/record denominator</x:v>
      </x:c>
      <x:c r="E64" s="151" t="str">
        <x:v>live</x:v>
      </x:c>
      <x:c r="F64" s="151" t="str">
        <x:v>paper 2025; checked 2026-08-14</x:v>
      </x:c>
      <x:c r="G64" s="168" t="str"/>
      <x:c r="H64" s="150" t="str">
        <x:v>not reported</x:v>
      </x:c>
      <x:c r="I64" s="185" t="str">
        <x:v>https://diced.lerner.ccf.org/</x:v>
      </x:c>
      <x:c r="J64" s="151" t="str">
        <x:v>2026-08-14</x:v>
      </x:c>
      <x:c r="K64" s="150" t="str">
        <x:v>web search and CSV export; code on GitHub; underlying data available on request; no explicit dataset license found</x:v>
      </x:c>
      <x:c r="L64" s="150" t="str">
        <x:v>No exact global denominator is published or exposed; mark NR rather than infer one.</x:v>
      </x:c>
    </x:row>
    <x:row r="65" ht="33" customHeight="1">
      <x:c r="A65" s="158" t="str">
        <x:v>DSDBASE 2.0</x:v>
      </x:c>
      <x:c r="B65" s="158" t="str">
        <x:v>structural PDB-derived disulfide catalog and modelled-candidate resource</x:v>
      </x:c>
      <x:c r="C65" s="158" t="str">
        <x:v>disulfide bond formation</x:v>
      </x:c>
      <x:c r="D65" s="158" t="str">
        <x:v>native disulfide-bond segments</x:v>
      </x:c>
      <x:c r="E65" s="159" t="str">
        <x:v>retired/unavailable</x:v>
      </x:c>
      <x:c r="F65" s="159" t="str">
        <x:v>PDB snapshot 2021-01; paper 2022</x:v>
      </x:c>
      <x:c r="G65" s="170" t="n">
        <x:v>216096</x:v>
      </x:c>
      <x:c r="H65" s="158" t="str">
        <x:v>native PDB disulfide-bond segments</x:v>
      </x:c>
      <x:c r="I65" s="184" t="str">
        <x:v>https://pmc.ncbi.nlm.nih.gov/articles/PMC9216586/</x:v>
      </x:c>
      <x:c r="J65" s="159" t="str">
        <x:v>2026-08-14</x:v>
      </x:c>
      <x:c r="K65" s="158" t="str">
        <x:v>historically free browse/download; no explicit dataset reuse license found</x:v>
      </x:c>
      <x:c r="L65" s="158" t="str">
        <x:v>Structural segments, not curated functional PTM effects.</x:v>
      </x:c>
    </x:row>
    <x:row r="66" ht="33" customHeight="1">
      <x:c r="A66" s="150" t="str">
        <x:v>DSDBASE 2.0</x:v>
      </x:c>
      <x:c r="B66" s="150" t="str">
        <x:v>structural PDB-derived disulfide catalog and modelled-candidate resource</x:v>
      </x:c>
      <x:c r="C66" s="150" t="str">
        <x:v>disulfide bond formation</x:v>
      </x:c>
      <x:c r="D66" s="150" t="str">
        <x:v>modelled possible disulfide-bond segments</x:v>
      </x:c>
      <x:c r="E66" s="151" t="str">
        <x:v>retired/unavailable</x:v>
      </x:c>
      <x:c r="F66" s="151" t="str">
        <x:v>PDB snapshot 2021-01; paper 2022</x:v>
      </x:c>
      <x:c r="G66" s="168" t="n">
        <x:v>20153850</x:v>
      </x:c>
      <x:c r="H66" s="150" t="str">
        <x:v>modelled possible segments</x:v>
      </x:c>
      <x:c r="I66" s="185" t="str">
        <x:v>https://pmc.ncbi.nlm.nih.gov/articles/PMC9216586/</x:v>
      </x:c>
      <x:c r="J66" s="151" t="str">
        <x:v>2026-08-14</x:v>
      </x:c>
      <x:c r="K66" s="150" t="str">
        <x:v>historically free browse/download; no explicit dataset reuse license found</x:v>
      </x:c>
      <x:c r="L66" s="150" t="str">
        <x:v>Predicted/modelled candidates; never present as experimentally observed sites or bonds.</x:v>
      </x:c>
    </x:row>
    <x:row r="67" ht="33" customHeight="1">
      <x:c r="A67" s="158" t="str">
        <x:v>DisulfideDB</x:v>
      </x:c>
      <x:c r="B67" s="158" t="str">
        <x:v>structural/evolutionary PDB data-mining set</x:v>
      </x:c>
      <x:c r="C67" s="158" t="str">
        <x:v>disulfide bond formation</x:v>
      </x:c>
      <x:c r="D67" s="158" t="str">
        <x:v>bonded cysteine pairs in PDBSelect25 snapshot</x:v>
      </x:c>
      <x:c r="E67" s="159" t="str">
        <x:v>retired/unavailable</x:v>
      </x:c>
      <x:c r="F67" s="159" t="str">
        <x:v>PDB snapshot 2002-12; paper 2004</x:v>
      </x:c>
      <x:c r="G67" s="170" t="n">
        <x:v>965</x:v>
      </x:c>
      <x:c r="H67" s="158" t="str">
        <x:v>PDB disulfide bonds</x:v>
      </x:c>
      <x:c r="I67" s="184" t="str">
        <x:v>https://academic.oup.com/bioinformatics/article/20/16/2509/237028</x:v>
      </x:c>
      <x:c r="J67" s="159" t="str">
        <x:v>2026-08-14</x:v>
      </x:c>
      <x:c r="K67" s="158" t="str">
        <x:v>no current download or license verified</x:v>
      </x:c>
      <x:c r="L67" s="158" t="str">
        <x:v>Structural dataset: 1,930 bonded cysteines plus 132 free cysteines across 359 eukaryotic chains; not functional-effect curation.</x:v>
      </x:c>
    </x:row>
    <x:row r="68" ht="33" customHeight="1">
      <x:c r="A68" s="150" t="str">
        <x:v>Cysteine Motif Database</x:v>
      </x:c>
      <x:c r="B68" s="150" t="str">
        <x:v>structural motif and prediction-support resource</x:v>
      </x:c>
      <x:c r="C68" s="150" t="str">
        <x:v>disulfide bond formation</x:v>
      </x:c>
      <x:c r="D68" s="150" t="str">
        <x:v>unique always-bonded motifs after redundancy removal</x:v>
      </x:c>
      <x:c r="E68" s="151" t="str">
        <x:v>retired/unavailable</x:v>
      </x:c>
      <x:c r="F68" s="151" t="n">
        <x:v>2012</x:v>
      </x:c>
      <x:c r="G68" s="168" t="n">
        <x:v>15875</x:v>
      </x:c>
      <x:c r="H68" s="150" t="str">
        <x:v>unique always-bonded motifs</x:v>
      </x:c>
      <x:c r="I68" s="185" t="str">
        <x:v>https://pmc.ncbi.nlm.nih.gov/articles/PMC3474208/</x:v>
      </x:c>
      <x:c r="J68" s="151" t="str">
        <x:v>2026-08-14</x:v>
      </x:c>
      <x:c r="K68" s="150" t="str">
        <x:v>historically web/SQL/API/FTP; article CC BY; dataset license not separately verified</x:v>
      </x:c>
      <x:c r="L68" s="150" t="str">
        <x:v>Motif count, not bonds or functional PTM sites.</x:v>
      </x:c>
    </x:row>
    <x:row r="69" ht="33" customHeight="1">
      <x:c r="A69" s="158" t="str">
        <x:v>Cysteine Motif Database</x:v>
      </x:c>
      <x:c r="B69" s="158" t="str">
        <x:v>structural motif and prediction-support resource</x:v>
      </x:c>
      <x:c r="C69" s="158" t="str">
        <x:v>disulfide bond formation</x:v>
      </x:c>
      <x:c r="D69" s="158" t="str">
        <x:v>unique always-nonbonded motifs after redundancy removal</x:v>
      </x:c>
      <x:c r="E69" s="159" t="str">
        <x:v>retired/unavailable</x:v>
      </x:c>
      <x:c r="F69" s="159" t="n">
        <x:v>2012</x:v>
      </x:c>
      <x:c r="G69" s="170" t="n">
        <x:v>41577</x:v>
      </x:c>
      <x:c r="H69" s="158" t="str">
        <x:v>unique always-nonbonded motifs</x:v>
      </x:c>
      <x:c r="I69" s="184" t="str">
        <x:v>https://pmc.ncbi.nlm.nih.gov/articles/PMC3474208/</x:v>
      </x:c>
      <x:c r="J69" s="159" t="str">
        <x:v>2026-08-14</x:v>
      </x:c>
      <x:c r="K69" s="158" t="str">
        <x:v>historically web/SQL/API/FTP; article CC BY; dataset license not separately verified</x:v>
      </x:c>
      <x:c r="L69" s="158" t="str">
        <x:v>Negative structural motif class, not PTM sites.</x:v>
      </x:c>
    </x:row>
    <x:row r="70" ht="33" customHeight="1">
      <x:c r="A70" s="150" t="str">
        <x:v>CysDBase</x:v>
      </x:c>
      <x:c r="B70" s="150" t="str">
        <x:v>UniProt-derived cysteine annotation aggregator</x:v>
      </x:c>
      <x:c r="C70" s="150" t="str">
        <x:v>disulfide and cysteine modifications</x:v>
      </x:c>
      <x:c r="D70" s="150" t="str">
        <x:v>all cysteine-residue records across seven categories</x:v>
      </x:c>
      <x:c r="E70" s="151" t="str">
        <x:v>new but endpoint unavailable</x:v>
      </x:c>
      <x:c r="F70" s="151" t="str">
        <x:v>paper 2026</x:v>
      </x:c>
      <x:c r="G70" s="168" t="n">
        <x:v>11456639</x:v>
      </x:c>
      <x:c r="H70" s="150" t="str">
        <x:v>cysteine-residue records</x:v>
      </x:c>
      <x:c r="I70" s="185" t="str">
        <x:v>https://academic.oup.com/database/article/doi/10.1093/database/baag021/8676277</x:v>
      </x:c>
      <x:c r="J70" s="151" t="str">
        <x:v>2026-08-14</x:v>
      </x:c>
      <x:c r="K70" s="150" t="str">
        <x:v>CSVs by email/request/approval; article CC BY 4.0; no visible dataset license</x:v>
      </x:c>
      <x:c r="L70" s="150" t="str">
        <x:v>Imported/derived aggregator, not independent experimental functional-effect curation.</x:v>
      </x:c>
    </x:row>
    <x:row r="71" ht="33" customHeight="1">
      <x:c r="A71" s="158" t="str">
        <x:v>CysDBase</x:v>
      </x:c>
      <x:c r="B71" s="158" t="str">
        <x:v>UniProt-derived cysteine annotation aggregator</x:v>
      </x:c>
      <x:c r="C71" s="158" t="str">
        <x:v>disulfide and cysteine modifications</x:v>
      </x:c>
      <x:c r="D71" s="158" t="str">
        <x:v>disulfide cysteine annotations</x:v>
      </x:c>
      <x:c r="E71" s="159" t="str">
        <x:v>new but endpoint unavailable</x:v>
      </x:c>
      <x:c r="F71" s="159" t="str">
        <x:v>paper 2026</x:v>
      </x:c>
      <x:c r="G71" s="170" t="n">
        <x:v>1717922</x:v>
      </x:c>
      <x:c r="H71" s="158" t="str">
        <x:v>disulfide cysteine annotations</x:v>
      </x:c>
      <x:c r="I71" s="184" t="str">
        <x:v>https://academic.oup.com/database/article/doi/10.1093/database/baag021/8676277</x:v>
      </x:c>
      <x:c r="J71" s="159" t="str">
        <x:v>2026-08-14</x:v>
      </x:c>
      <x:c r="K71" s="158" t="str">
        <x:v>CSVs by email/request/approval; article CC BY 4.0; no visible dataset license</x:v>
      </x:c>
      <x:c r="L71" s="158" t="str">
        <x:v>Counts cysteine halves, not disulfide bonds or residue pairs.</x:v>
      </x:c>
    </x:row>
    <x:row r="72" ht="33" customHeight="1">
      <x:c r="A72" s="150" t="str">
        <x:v>UniProtKB reviewed</x:v>
      </x:c>
      <x:c r="B72" s="150" t="str">
        <x:v>general protein knowledgebase</x:v>
      </x:c>
      <x:c r="C72" s="150" t="str">
        <x:v>disulfide bond formation</x:v>
      </x:c>
      <x:c r="D72" s="150" t="str">
        <x:v>DISULFID feature annotations in reviewed entries</x:v>
      </x:c>
      <x:c r="E72" s="151" t="str">
        <x:v>live/current</x:v>
      </x:c>
      <x:c r="F72" s="151" t="str">
        <x:v>release 2026_02; 2026-06-10</x:v>
      </x:c>
      <x:c r="G72" s="168" t="n">
        <x:v>142159</x:v>
      </x:c>
      <x:c r="H72" s="150" t="str">
        <x:v>DISULFID feature annotations</x:v>
      </x:c>
      <x:c r="I72" s="185" t="str">
        <x:v>https://www.uniprot.org/help/crosslnk</x:v>
      </x:c>
      <x:c r="J72" s="151" t="str">
        <x:v>2026-08-14</x:v>
      </x:c>
      <x:c r="K72" s="150" t="str">
        <x:v>web/REST/FTP; CC BY 4.0</x:v>
      </x:c>
      <x:c r="L72" s="150" t="str">
        <x:v>Audit-derived live REST count across 37,640 reviewed entries; mixed experimental, structural, and inferred evidence.</x:v>
      </x:c>
    </x:row>
    <x:row r="73" ht="33" customHeight="1">
      <x:c r="A73" s="171" t="str">
        <x:v>UniProtKB reviewed</x:v>
      </x:c>
      <x:c r="B73" s="171" t="str">
        <x:v>general protein knowledgebase</x:v>
      </x:c>
      <x:c r="C73" s="171" t="str">
        <x:v>endogenous covalent crosslinks</x:v>
      </x:c>
      <x:c r="D73" s="171" t="str">
        <x:v>CROSSLNK feature annotations in reviewed entries</x:v>
      </x:c>
      <x:c r="E73" s="172" t="str">
        <x:v>live/current</x:v>
      </x:c>
      <x:c r="F73" s="172" t="str">
        <x:v>release 2026_02; 2026-06-10</x:v>
      </x:c>
      <x:c r="G73" s="173" t="n">
        <x:v>26023</x:v>
      </x:c>
      <x:c r="H73" s="171" t="str">
        <x:v>CROSSLNK feature annotations</x:v>
      </x:c>
      <x:c r="I73" s="187" t="str">
        <x:v>https://www.uniprot.org/help/crosslnk</x:v>
      </x:c>
      <x:c r="J73" s="172" t="str">
        <x:v>2026-08-14</x:v>
      </x:c>
      <x:c r="K73" s="171" t="str">
        <x:v>web/REST/FTP; CC BY 4.0</x:v>
      </x:c>
      <x:c r="L73" s="171" t="str">
        <x:v>Audit-derived live REST count across 9,333 reviewed entries; mixed evidence and heterogeneous crosslink chemistry.</x:v>
      </x:c>
    </x:row>
  </x:sheetData>
  <x:conditionalFormatting sqref="E2:E73">
    <x:cfRule type="containsText" dxfId="71" priority="1" operator="containsText" text="ACTIVE"/>
    <x:cfRule type="containsText" dxfId="72" priority="2" operator="containsText" text="LIVE"/>
    <x:cfRule type="containsText" dxfId="73" priority="3" operator="containsText" text="UNAVAILABLE"/>
    <x:cfRule type="containsText" dxfId="74" priority="4" operator="containsText" text="RETIRED"/>
    <x:cfRule type="containsText" dxfId="75" priority="5" operator="containsText" text="SUPERSEDED"/>
    <x:cfRule type="containsText" dxfId="76" priority="6" operator="containsText" text="BROKEN"/>
    <x:cfRule type="containsText" dxfId="77" priority="7" operator="containsText" text="NONE"/>
    <x:cfRule type="containsText" dxfId="78" priority="8" operator="containsText" text="NO_DEDICATED"/>
    <x:cfRule type="containsText" dxfId="79" priority="9" operator="containsText" text="GENERAL"/>
    <x:cfRule type="containsText" dxfId="80" priority="10" operator="containsText" text="PRIMARY"/>
    <x:cfRule type="containsText" dxfId="81" priority="11" operator="containsText" text="STRUCTURAL"/>
    <x:cfRule type="containsText" dxfId="82" priority="12" operator="containsText" text="MOTIF_RESOURCE"/>
    <x:cfRule type="containsText" dxfId="83" priority="13" operator="containsText" text="PATHWAY"/>
    <x:cfRule type="containsText" dxfId="84" priority="14" operator="containsText" text="ENZYME_RESOURCE"/>
    <x:cfRule type="containsText" dxfId="85" priority="15" operator="containsText" text="SITE_DATASET"/>
    <x:cfRule type="containsText" dxfId="86" priority="16" operator="containsText" text="SITE_ATLAS"/>
    <x:cfRule type="containsText" dxfId="87" priority="17" operator="containsText" text="STALE"/>
    <x:cfRule type="containsText" dxfId="88" priority="18" operator="containsText" text="STATIC"/>
  </x:conditionalFormatting>
  <x:hyperlinks>
    <x:hyperlink ref="I2" r:id="rIdHyperlink1"/>
    <x:hyperlink ref="I3" r:id="rIdHyperlink2"/>
    <x:hyperlink ref="I4" r:id="rIdHyperlink3"/>
    <x:hyperlink ref="I5" r:id="rIdHyperlink4"/>
    <x:hyperlink ref="I6" r:id="rIdHyperlink5"/>
    <x:hyperlink ref="I7" r:id="rIdHyperlink6"/>
    <x:hyperlink ref="I8" r:id="rIdHyperlink7"/>
    <x:hyperlink ref="I9" r:id="rIdHyperlink8"/>
    <x:hyperlink ref="I10" r:id="rIdHyperlink9"/>
    <x:hyperlink ref="I11" r:id="rIdHyperlink10"/>
    <x:hyperlink ref="I12" r:id="rIdHyperlink11"/>
    <x:hyperlink ref="I13" r:id="rIdHyperlink12"/>
    <x:hyperlink ref="I14" r:id="rIdHyperlink13"/>
    <x:hyperlink ref="I15" r:id="rIdHyperlink14"/>
    <x:hyperlink ref="I16" r:id="rIdHyperlink15"/>
    <x:hyperlink ref="I17" r:id="rIdHyperlink16"/>
    <x:hyperlink ref="I18" r:id="rIdHyperlink17"/>
    <x:hyperlink ref="I19" r:id="rIdHyperlink18"/>
    <x:hyperlink ref="I20" r:id="rIdHyperlink19"/>
    <x:hyperlink ref="I21" r:id="rIdHyperlink20"/>
    <x:hyperlink ref="I22" r:id="rIdHyperlink21"/>
    <x:hyperlink ref="I23" r:id="rIdHyperlink22"/>
    <x:hyperlink ref="I24" r:id="rIdHyperlink23"/>
    <x:hyperlink ref="I25" r:id="rIdHyperlink24"/>
    <x:hyperlink ref="I26" r:id="rIdHyperlink25"/>
    <x:hyperlink ref="I27" r:id="rIdHyperlink26"/>
    <x:hyperlink ref="I28" r:id="rIdHyperlink27"/>
    <x:hyperlink ref="I29" r:id="rIdHyperlink28"/>
    <x:hyperlink ref="I30" r:id="rIdHyperlink29"/>
    <x:hyperlink ref="I31" r:id="rIdHyperlink30"/>
    <x:hyperlink ref="I32" r:id="rIdHyperlink31"/>
    <x:hyperlink ref="I33" r:id="rIdHyperlink32"/>
    <x:hyperlink ref="I34" r:id="rIdHyperlink33"/>
    <x:hyperlink ref="I35" r:id="rIdHyperlink34"/>
    <x:hyperlink ref="I36" r:id="rIdHyperlink35"/>
    <x:hyperlink ref="I37" r:id="rIdHyperlink36"/>
    <x:hyperlink ref="I38" r:id="rIdHyperlink37"/>
    <x:hyperlink ref="I39" r:id="rIdHyperlink38"/>
    <x:hyperlink ref="I40" r:id="rIdHyperlink39"/>
    <x:hyperlink ref="I41" r:id="rIdHyperlink40"/>
    <x:hyperlink ref="I42" r:id="rIdHyperlink41"/>
    <x:hyperlink ref="I43" r:id="rIdHyperlink42"/>
    <x:hyperlink ref="I44" r:id="rIdHyperlink43"/>
    <x:hyperlink ref="I45" r:id="rIdHyperlink44"/>
    <x:hyperlink ref="I46" r:id="rIdHyperlink45"/>
    <x:hyperlink ref="I47" r:id="rIdHyperlink46"/>
    <x:hyperlink ref="I48" r:id="rIdHyperlink47"/>
    <x:hyperlink ref="I49" r:id="rIdHyperlink48"/>
    <x:hyperlink ref="I50" r:id="rIdHyperlink49"/>
    <x:hyperlink ref="I51" r:id="rIdHyperlink50"/>
    <x:hyperlink ref="I52" r:id="rIdHyperlink51"/>
    <x:hyperlink ref="I53" r:id="rIdHyperlink52"/>
    <x:hyperlink ref="I54" r:id="rIdHyperlink53"/>
    <x:hyperlink ref="I55" r:id="rIdHyperlink54"/>
    <x:hyperlink ref="I56" r:id="rIdHyperlink55"/>
    <x:hyperlink ref="I57" r:id="rIdHyperlink56"/>
    <x:hyperlink ref="I58" r:id="rIdHyperlink57"/>
    <x:hyperlink ref="I59" r:id="rIdHyperlink58"/>
    <x:hyperlink ref="I60" r:id="rIdHyperlink59"/>
    <x:hyperlink ref="I61" r:id="rIdHyperlink60"/>
    <x:hyperlink ref="I62" r:id="rIdHyperlink61"/>
    <x:hyperlink ref="I63" r:id="rIdHyperlink62"/>
    <x:hyperlink ref="I64" r:id="rIdHyperlink63"/>
    <x:hyperlink ref="I65" r:id="rIdHyperlink64"/>
    <x:hyperlink ref="I66" r:id="rIdHyperlink65"/>
    <x:hyperlink ref="I67" r:id="rIdHyperlink66"/>
    <x:hyperlink ref="I68" r:id="rIdHyperlink67"/>
    <x:hyperlink ref="I69" r:id="rIdHyperlink68"/>
    <x:hyperlink ref="I70" r:id="rIdHyperlink69"/>
    <x:hyperlink ref="I71" r:id="rIdHyperlink70"/>
    <x:hyperlink ref="I72" r:id="rIdHyperlink71"/>
    <x:hyperlink ref="I73" r:id="rIdHyperlink72"/>
  </x:hyperlinks>
  <x:pageMargins left="0.7" right="0.7" top="0.75" bottom="0.75" header="0.3" footer="0.3"/>
  <x:tableParts count="1">
    <x:tablePart xmlns:r="http://schemas.openxmlformats.org/officeDocument/2006/relationships" r:id="R41745baa76f24cfa"/>
  </x:tableParts>
</x:worksheet>
</file>

<file path=xl/worksheets/sheet7.xml><?xml version="1.0" encoding="utf-8"?>
<x:worksheet xmlns:x="http://schemas.openxmlformats.org/spreadsheetml/2006/main" xmlns:r="http://schemas.openxmlformats.org/officeDocument/2006/relationships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7.219999313354492" hidden="0" customWidth="1"/>
    <x:col min="2" max="2" width="23.329999923706055" hidden="0" customWidth="1"/>
    <x:col min="3" max="3" width="25.559999465942383" hidden="0" customWidth="1"/>
    <x:col min="4" max="4" width="28.889999389648438" hidden="0" customWidth="1"/>
    <x:col min="5" max="5" width="28.889999389648438" hidden="0" customWidth="1"/>
    <x:col min="6" max="6" width="23.329999923706055" hidden="0" customWidth="1"/>
    <x:col min="7" max="7" width="23.329999923706055" hidden="0" customWidth="1"/>
    <x:col min="8" max="8" width="18.889999389648438" hidden="0" customWidth="1"/>
    <x:col min="9" max="9" width="32.220001220703125" hidden="0" customWidth="1"/>
    <x:col min="10" max="10" width="38.88999938964844" hidden="0" customWidth="1"/>
  </x:cols>
  <x:sheetData>
    <x:row r="1" ht="33" customHeight="1">
      <x:c r="A1" s="135" t="str">
        <x:v>Category</x:v>
      </x:c>
      <x:c r="B1" s="135" t="str">
        <x:v>Candidate family</x:v>
      </x:c>
      <x:c r="C1" s="135" t="str">
        <x:v>Aliases / children</x:v>
      </x:c>
      <x:c r="D1" s="135" t="str">
        <x:v>Chemistry / linkage</x:v>
      </x:c>
      <x:c r="E1" s="135" t="str">
        <x:v>Natural vs artifact</x:v>
      </x:c>
      <x:c r="F1" s="135" t="str">
        <x:v>dbPTM cross-check</x:v>
      </x:c>
      <x:c r="G1" s="135" t="str">
        <x:v>ProteomeScout cross-check</x:v>
      </x:c>
      <x:c r="H1" s="135" t="str">
        <x:v>Recommendation</x:v>
      </x:c>
      <x:c r="I1" s="135" t="str">
        <x:v>Evidence URL / DOI</x:v>
      </x:c>
      <x:c r="J1" s="135" t="str">
        <x:v>Audit note</x:v>
      </x:c>
    </x:row>
    <x:row r="2" ht="34.5" customHeight="1">
      <x:c r="A2" s="146" t="str">
        <x:v>lysine_acylation</x:v>
      </x:c>
      <x:c r="B2" s="146" t="str">
        <x:v>3-hydroxy-3-methylglutarylation</x:v>
      </x:c>
      <x:c r="C2" s="146" t="str">
        <x:v>HMGylation; K-HMG</x:v>
      </x:c>
      <x:c r="D2" s="146" t="str">
        <x:v>N6-lysine amide</x:v>
      </x:c>
      <x:c r="E2" s="146" t="str">
        <x:v>endogenous metabolite-driven; often nonenzymatic</x:v>
      </x:c>
      <x:c r="F2" s="146" t="str">
        <x:v>absent exact</x:v>
      </x:c>
      <x:c r="G2" s="146" t="str">
        <x:v>absent exact</x:v>
      </x:c>
      <x:c r="H2" s="147" t="str">
        <x:v>ADD_EXTENDED</x:v>
      </x:c>
      <x:c r="I2" s="183" t="str">
        <x:v>https://doi.org/10.1016/j.cmet.2017.03.006</x:v>
      </x:c>
      <x:c r="J2" s="146" t="str">
        <x:v>Current CPLM 4.0 type; keep as a child of lysine acylation, not a new top-level chemistry class.</x:v>
      </x:c>
    </x:row>
    <x:row r="3" ht="34.5" customHeight="1">
      <x:c r="A3" s="158" t="str">
        <x:v>lysine_acylation</x:v>
      </x:c>
      <x:c r="B3" s="158" t="str">
        <x:v>3-methylglutaconylation</x:v>
      </x:c>
      <x:c r="C3" s="158" t="str">
        <x:v>MGcylation; K-MGc</x:v>
      </x:c>
      <x:c r="D3" s="158" t="str">
        <x:v>N6-lysine amide</x:v>
      </x:c>
      <x:c r="E3" s="158" t="str">
        <x:v>endogenous metabolite-driven; often nonenzymatic</x:v>
      </x:c>
      <x:c r="F3" s="158" t="str">
        <x:v>absent exact</x:v>
      </x:c>
      <x:c r="G3" s="158" t="str">
        <x:v>absent exact</x:v>
      </x:c>
      <x:c r="H3" s="159" t="str">
        <x:v>ADD_EXTENDED</x:v>
      </x:c>
      <x:c r="I3" s="184" t="str">
        <x:v>https://doi.org/10.1016/j.cmet.2017.03.006</x:v>
      </x:c>
      <x:c r="J3" s="158" t="str">
        <x:v>Distinct installed acyl group; current CPLM 4.0 type.</x:v>
      </x:c>
    </x:row>
    <x:row r="4" ht="34.5" customHeight="1">
      <x:c r="A4" s="150" t="str">
        <x:v>lysine_acylation</x:v>
      </x:c>
      <x:c r="B4" s="150" t="str">
        <x:v>3-methylglutarylation</x:v>
      </x:c>
      <x:c r="C4" s="150" t="str">
        <x:v>MGylation; K-MG</x:v>
      </x:c>
      <x:c r="D4" s="150" t="str">
        <x:v>N6-lysine amide</x:v>
      </x:c>
      <x:c r="E4" s="150" t="str">
        <x:v>endogenous metabolite-driven; often nonenzymatic</x:v>
      </x:c>
      <x:c r="F4" s="150" t="str">
        <x:v>absent exact</x:v>
      </x:c>
      <x:c r="G4" s="150" t="str">
        <x:v>absent exact</x:v>
      </x:c>
      <x:c r="H4" s="151" t="str">
        <x:v>ADD_EXTENDED</x:v>
      </x:c>
      <x:c r="I4" s="185" t="str">
        <x:v>https://doi.org/10.1016/j.cmet.2017.03.006</x:v>
      </x:c>
      <x:c r="J4" s="150" t="str">
        <x:v>Distinct installed acyl group; current CPLM 4.0 type.</x:v>
      </x:c>
    </x:row>
    <x:row r="5" ht="34.5" customHeight="1">
      <x:c r="A5" s="158" t="str">
        <x:v>lysine_acylation</x:v>
      </x:c>
      <x:c r="B5" s="158" t="str">
        <x:v>benzoylation</x:v>
      </x:c>
      <x:c r="C5" s="158" t="str">
        <x:v>Kbz; N6-benzoyllysine</x:v>
      </x:c>
      <x:c r="D5" s="158" t="str">
        <x:v>N6-lysine aromatic amide</x:v>
      </x:c>
      <x:c r="E5" s="158" t="str">
        <x:v>diet/exposure-responsive biological mark; enzymatically removable</x:v>
      </x:c>
      <x:c r="F5" s="158" t="str">
        <x:v>absent exact</x:v>
      </x:c>
      <x:c r="G5" s="158" t="str">
        <x:v>absent exact</x:v>
      </x:c>
      <x:c r="H5" s="159" t="str">
        <x:v>ADD_EXTENDED</x:v>
      </x:c>
      <x:c r="I5" s="184" t="str">
        <x:v>https://doi.org/10.1038/s41467-018-05567-w</x:v>
      </x:c>
      <x:c r="J5" s="158" t="str">
        <x:v>Biological but exposure-sensitive; do not imply a universally endogenous donor. UniProt PTM-0741.</x:v>
      </x:c>
    </x:row>
    <x:row r="6" ht="34.5" customHeight="1">
      <x:c r="A6" s="150" t="str">
        <x:v>lysine_acylation</x:v>
      </x:c>
      <x:c r="B6" s="150" t="str">
        <x:v>isobutyrylation</x:v>
      </x:c>
      <x:c r="C6" s="150" t="str">
        <x:v>Kibu; N6-isobutyryllysine</x:v>
      </x:c>
      <x:c r="D6" s="150" t="str">
        <x:v>N6-lysine branched-chain amide</x:v>
      </x:c>
      <x:c r="E6" s="150" t="str">
        <x:v>endogenous enzymatic/metabolic</x:v>
      </x:c>
      <x:c r="F6" s="150" t="str">
        <x:v>absent exact</x:v>
      </x:c>
      <x:c r="G6" s="150" t="str">
        <x:v>absent exact</x:v>
      </x:c>
      <x:c r="H6" s="151" t="str">
        <x:v>ADD_CORE</x:v>
      </x:c>
      <x:c r="I6" s="185" t="str">
        <x:v>https://doi.org/10.1093/nar/gkaa1176</x:v>
      </x:c>
      <x:c r="J6" s="150" t="str">
        <x:v>Validated histone mark; UniProt PTM-0744.</x:v>
      </x:c>
    </x:row>
    <x:row r="7" ht="34.5" customHeight="1">
      <x:c r="A7" s="158" t="str">
        <x:v>lysine_acylation</x:v>
      </x:c>
      <x:c r="B7" s="158" t="str">
        <x:v>methacrylation</x:v>
      </x:c>
      <x:c r="C7" s="158" t="str">
        <x:v>Kmea; N6-methacryllysine</x:v>
      </x:c>
      <x:c r="D7" s="158" t="str">
        <x:v>N6-lysine unsaturated amide</x:v>
      </x:c>
      <x:c r="E7" s="158" t="str">
        <x:v>endogenous and dynamic; HAT1/SIRT2-linked</x:v>
      </x:c>
      <x:c r="F7" s="158" t="str">
        <x:v>absent exact</x:v>
      </x:c>
      <x:c r="G7" s="158" t="str">
        <x:v>absent exact</x:v>
      </x:c>
      <x:c r="H7" s="159" t="str">
        <x:v>ADD_CORE</x:v>
      </x:c>
      <x:c r="I7" s="184" t="str">
        <x:v>https://doi.org/10.1038/s41421-021-00344-4</x:v>
      </x:c>
      <x:c r="J7" s="158" t="str">
        <x:v>Validated in cells; UniProt PTM-0743.</x:v>
      </x:c>
    </x:row>
    <x:row r="8" ht="34.5" customHeight="1">
      <x:c r="A8" s="150" t="str">
        <x:v>lysine_acylation</x:v>
      </x:c>
      <x:c r="B8" s="150" t="str">
        <x:v>pyruvylation of lysine</x:v>
      </x:c>
      <x:c r="C8" s="150" t="str">
        <x:v>Kpy; N6-pyruvyllysine</x:v>
      </x:c>
      <x:c r="D8" s="150" t="str">
        <x:v>N6-lysine alpha-keto amide</x:v>
      </x:c>
      <x:c r="E8" s="150" t="str">
        <x:v>endogenous; enzymatic writer/eraser evidence</x:v>
      </x:c>
      <x:c r="F8" s="150" t="str">
        <x:v>broader Pyruvate row only</x:v>
      </x:c>
      <x:c r="G8" s="150" t="str">
        <x:v>other pyruvate adducts present; Kpy absent exact</x:v>
      </x:c>
      <x:c r="H8" s="151" t="str">
        <x:v>ADD_CORE</x:v>
      </x:c>
      <x:c r="I8" s="185" t="str">
        <x:v>https://doi.org/10.1038/s42255-026-01556-2</x:v>
      </x:c>
      <x:c r="J8" s="150" t="str">
        <x:v>2026 study identified 88 mammalian Kpy sites and HAT1/p300 writers plus SIRT3 eraser; do not equate with N-pyruvate Val or pyruvoyl cofactors.</x:v>
      </x:c>
    </x:row>
    <x:row r="9" ht="34.5" customHeight="1">
      <x:c r="A9" s="158" t="str">
        <x:v>lysine_acylation</x:v>
      </x:c>
      <x:c r="B9" s="158" t="str">
        <x:v>phenylacetylation</x:v>
      </x:c>
      <x:c r="C9" s="158" t="str">
        <x:v>Kpaa; Kpa; N6-phenylacetyllysine</x:v>
      </x:c>
      <x:c r="D9" s="158" t="str">
        <x:v>N6-lysine aromatic amide</x:v>
      </x:c>
      <x:c r="E9" s="158" t="str">
        <x:v>gut-microbiota-derived endogenous metabolite; enzymatically reversible</x:v>
      </x:c>
      <x:c r="F9" s="158" t="str">
        <x:v>absent exact</x:v>
      </x:c>
      <x:c r="G9" s="158" t="str">
        <x:v>absent exact</x:v>
      </x:c>
      <x:c r="H9" s="159" t="str">
        <x:v>ADD_CORE</x:v>
      </x:c>
      <x:c r="I9" s="184" t="str">
        <x:v>https://doi.org/10.1016/j.cmet.2026.05.016</x:v>
      </x:c>
      <x:c r="J9" s="158" t="str">
        <x:v>Very recent 2026 PTM with proteome-wide sites and SIRT3 eraser; highest-priority new addition.</x:v>
      </x:c>
    </x:row>
    <x:row r="10" ht="34.5" customHeight="1">
      <x:c r="A10" s="150" t="str">
        <x:v>lysine_acylation</x:v>
      </x:c>
      <x:c r="B10" s="150" t="str">
        <x:v>beta-hydroxybutyrylation</x:v>
      </x:c>
      <x:c r="C10" s="150" t="str">
        <x:v>Kbhb; N6-(beta-hydroxybutyryl)lysine</x:v>
      </x:c>
      <x:c r="D10" s="150" t="str">
        <x:v>N6-lysine hydroxyacyl amide</x:v>
      </x:c>
      <x:c r="E10" s="150" t="str">
        <x:v>endogenous ketone-body-responsive</x:v>
      </x:c>
      <x:c r="F10" s="150" t="str">
        <x:v>absent exact; do not confuse with 2-hydroxyisobutyrylation</x:v>
      </x:c>
      <x:c r="G10" s="150" t="str">
        <x:v>present exact: N6-(beta-hydroxybutyryl)lysine</x:v>
      </x:c>
      <x:c r="H10" s="151" t="str">
        <x:v>KEEP_EMPIRICAL_ADD_DB_SUBTYPE</x:v>
      </x:c>
      <x:c r="I10" s="185" t="str">
        <x:v>https://doi.org/10.1016/j.molcel.2016.03.036</x:v>
      </x:c>
      <x:c r="J10" s="150" t="str">
        <x:v>Chemically distinct from 2-hydroxyisobutyrylation despite similar names.</x:v>
      </x:c>
    </x:row>
    <x:row r="11" ht="34.5" customHeight="1">
      <x:c r="A11" s="158" t="str">
        <x:v>lysine_acylation</x:v>
      </x:c>
      <x:c r="B11" s="158" t="str">
        <x:v>lactyllysine isomers</x:v>
      </x:c>
      <x:c r="C11" s="158" t="str">
        <x:v>L-lactyllysine; D-lactyllysine; N6-carboxyethyllysine</x:v>
      </x:c>
      <x:c r="D11" s="158" t="str">
        <x:v>N6-lysine hydroxyacyl amides/AGE isomer</x:v>
      </x:c>
      <x:c r="E11" s="158" t="str">
        <x:v>mixed enzymatic and nonenzymatic endogenous chemistry</x:v>
      </x:c>
      <x:c r="F11" s="158" t="str">
        <x:v>present as Lactylation/Lactoylation and Carboxyethylation; stereochemistry unresolved</x:v>
      </x:c>
      <x:c r="G11" s="158" t="str">
        <x:v>present as N6-lactoyllysine and N6-1-carboxyethyllysine; stereochemistry unresolved</x:v>
      </x:c>
      <x:c r="H11" s="159" t="str">
        <x:v>MERGE_WITH_ISOMER_FIELDS</x:v>
      </x:c>
      <x:c r="I11" s="184" t="str">
        <x:v>https://doi.org/10.1038/s41589-024-01680-8</x:v>
      </x:c>
      <x:c r="J11" s="158" t="str">
        <x:v>Do not count lactylation, lactoylation, D-lactylation and carboxyethylation as interchangeable or blindly additive families.</x:v>
      </x:c>
    </x:row>
    <x:row r="12" ht="34.5" customHeight="1">
      <x:c r="A12" s="150" t="str">
        <x:v>lysine_acylation</x:v>
      </x:c>
      <x:c r="B12" s="150" t="str">
        <x:v>isonicotinylation</x:v>
      </x:c>
      <x:c r="C12" s="150" t="str">
        <x:v>Kic; 4-picolinylation; N6-isonicotinyllysine</x:v>
      </x:c>
      <x:c r="D12" s="150" t="str">
        <x:v>N6-lysine heteroaromatic amide</x:v>
      </x:c>
      <x:c r="E12" s="150" t="str">
        <x:v>isoniazid/drug-induced; enzymatically reversible</x:v>
      </x:c>
      <x:c r="F12" s="150" t="str">
        <x:v>absent exact</x:v>
      </x:c>
      <x:c r="G12" s="150" t="str">
        <x:v>absent exact</x:v>
      </x:c>
      <x:c r="H12" s="151" t="str">
        <x:v>WATCH_EXPOSURE_LAYER</x:v>
      </x:c>
      <x:c r="I12" s="185" t="str">
        <x:v>https://doi.org/10.1038/s41467-021-25867-y</x:v>
      </x:c>
      <x:c r="J12" s="150" t="str">
        <x:v>Real biological response to a xenobiotic, but not a universal endogenous PTM. UniProt PTM-0742.</x:v>
      </x:c>
    </x:row>
    <x:row r="13" ht="34.5" customHeight="1">
      <x:c r="A13" s="158" t="str">
        <x:v>lysine_damage_or_metabolite_adduct</x:v>
      </x:c>
      <x:c r="B13" s="158" t="str">
        <x:v>carboxymethyllysine</x:v>
      </x:c>
      <x:c r="C13" s="158" t="str">
        <x:v>CML; N6-carboxymethyllysine</x:v>
      </x:c>
      <x:c r="D13" s="158" t="str">
        <x:v>nonenzymatic lysine AGE</x:v>
      </x:c>
      <x:c r="E13" s="158" t="str">
        <x:v>endogenous pathological glycation and exogenous processing product</x:v>
      </x:c>
      <x:c r="F13" s="158" t="str">
        <x:v>broader Glycation row only</x:v>
      </x:c>
      <x:c r="G13" s="158" t="str">
        <x:v>absent exact</x:v>
      </x:c>
      <x:c r="H13" s="159" t="str">
        <x:v>ADD_EXTENDED_DAMAGE_LAYER</x:v>
      </x:c>
      <x:c r="I13" s="184" t="str">
        <x:v>https://pmc.ncbi.nlm.nih.gov/articles/PMC8602705/</x:v>
      </x:c>
      <x:c r="J13" s="158" t="str">
        <x:v>Current CPLM 4.0 type; keep separate from carboxyethyllysine.</x:v>
      </x:c>
    </x:row>
    <x:row r="14" ht="34.5" customHeight="1">
      <x:c r="A14" s="150" t="str">
        <x:v>lysine_damage_or_metabolite_adduct</x:v>
      </x:c>
      <x:c r="B14" s="150" t="str">
        <x:v>3-phosphoglycerylation</x:v>
      </x:c>
      <x:c r="C14" s="150" t="str">
        <x:v>pgK; 3-phosphoglyceryl-lysine</x:v>
      </x:c>
      <x:c r="D14" s="150" t="str">
        <x:v>nonenzymatic N6-lysine adduct from 1,3-BPG</x:v>
      </x:c>
      <x:c r="E14" s="150" t="str">
        <x:v>endogenous nonenzymatic metabolic sensing/damage</x:v>
      </x:c>
      <x:c r="F14" s="150" t="str">
        <x:v>present exact: Phosphoglycerylation</x:v>
      </x:c>
      <x:c r="G14" s="150" t="str">
        <x:v>absent exact</x:v>
      </x:c>
      <x:c r="H14" s="151" t="str">
        <x:v>KEEP_EXISTING</x:v>
      </x:c>
      <x:c r="I14" s="185" t="str">
        <x:v>https://doi.org/10.1126/science.1238327</x:v>
      </x:c>
      <x:c r="J14" s="150" t="str">
        <x:v>Rare but already an exact dbPTM named type; not a new family claim.</x:v>
      </x:c>
    </x:row>
    <x:row r="15" ht="34.5" customHeight="1">
      <x:c r="A15" s="158" t="str">
        <x:v>lysine_acylation</x:v>
      </x:c>
      <x:c r="B15" s="158" t="str">
        <x:v>long-chain lysine fatty acylation</x:v>
      </x:c>
      <x:c r="C15" s="158" t="str">
        <x:v>N6-myristoyl; N6-palmitoyl; N6-decanoyl; N6-stearoyl</x:v>
      </x:c>
      <x:c r="D15" s="158" t="str">
        <x:v>N6-lysine long-chain fatty-acid amide</x:v>
      </x:c>
      <x:c r="E15" s="158" t="str">
        <x:v>endogenous enzymatic and nonenzymatic</x:v>
      </x:c>
      <x:c r="F15" s="158" t="str">
        <x:v>present as Myristoylation/Decanoylation/Stearoylation and related rows</x:v>
      </x:c>
      <x:c r="G15" s="158" t="str">
        <x:v>partial exact coverage: N6-myristoyllysine only</x:v>
      </x:c>
      <x:c r="H15" s="159" t="str">
        <x:v>MERGE_CHAIN_LENGTH_FIELD</x:v>
      </x:c>
      <x:c r="I15" s="184" t="str">
        <x:v>https://doi.org/10.3389/fcell.2021.717503</x:v>
      </x:c>
      <x:c r="J15" s="158" t="str">
        <x:v>Use one linkage-aware family plus chain identity rather than counting every chain length as a top-level PTM.</x:v>
      </x:c>
    </x:row>
    <x:row r="16" ht="34.5" customHeight="1">
      <x:c r="A16" s="150" t="str">
        <x:v>lysine_acylation</x:v>
      </x:c>
      <x:c r="B16" s="150" t="str">
        <x:v>N6-ethylation</x:v>
      </x:c>
      <x:c r="C16" s="150" t="str">
        <x:v>N6-ethyllysine</x:v>
      </x:c>
      <x:c r="D16" s="150" t="str">
        <x:v>N6-lysine alkylation</x:v>
      </x:c>
      <x:c r="E16" s="150" t="str">
        <x:v>shown mainly as enzyme capacity/in vitro; endogenous status unproven</x:v>
      </x:c>
      <x:c r="F16" s="150" t="str">
        <x:v>absent exact</x:v>
      </x:c>
      <x:c r="G16" s="150" t="str">
        <x:v>absent exact</x:v>
      </x:c>
      <x:c r="H16" s="151" t="str">
        <x:v>EXCLUDE_UNTIL_ENDOGENOUS_EVIDENCE</x:v>
      </x:c>
      <x:c r="I16" s="185" t="str">
        <x:v>https://doi.org/10.1002/cbic.201900359</x:v>
      </x:c>
      <x:c r="J16" s="150" t="str">
        <x:v>Do not treat chemical synthesis or in-vitro deacylase activity as proof of a natural PTM.</x:v>
      </x:c>
    </x:row>
    <x:row r="17" ht="34.5" customHeight="1">
      <x:c r="A17" s="158" t="str">
        <x:v>nucleotide_conjugation</x:v>
      </x:c>
      <x:c r="B17" s="158" t="str">
        <x:v>ADP-ribosylation</x:v>
      </x:c>
      <x:c r="C17" s="158" t="str">
        <x:v>MARylation; PARylation; Ser/Asp/Glu/Arg/Asn/Cys/Gly/His/Tyr/Lys ADPr</x:v>
      </x:c>
      <x:c r="D17" s="158" t="str">
        <x:v>residue-specific glycosidic linkage; mono- or polymeric extension</x:v>
      </x:c>
      <x:c r="E17" s="158" t="str">
        <x:v>endogenous enzymatic and pathogen-installed</x:v>
      </x:c>
      <x:c r="F17" s="158" t="str">
        <x:v>present exact umbrella</x:v>
      </x:c>
      <x:c r="G17" s="158" t="str">
        <x:v>present exact residue-specific MAR labels and poly-ADPr Asp/Glu</x:v>
      </x:c>
      <x:c r="H17" s="159" t="str">
        <x:v>MERGE_HIERARCHICALLY</x:v>
      </x:c>
      <x:c r="I17" s="184" t="str">
        <x:v>https://doi.org/10.1038/s41586-020-2013-6</x:v>
      </x:c>
      <x:c r="J17" s="158" t="str">
        <x:v>Use one ADPr family with residue, linkage, chain length and writer fields; PAR is polymeric extension, not an unrelated family.</x:v>
      </x:c>
    </x:row>
    <x:row r="18" ht="34.5" customHeight="1">
      <x:c r="A18" s="150" t="str">
        <x:v>nucleotide_conjugation</x:v>
      </x:c>
      <x:c r="B18" s="150" t="str">
        <x:v>phosphoribosyl ubiquitination</x:v>
      </x:c>
      <x:c r="C18" s="150" t="str">
        <x:v>PR-ubiquitination; PR-Ub</x:v>
      </x:c>
      <x:c r="D18" s="150" t="str">
        <x:v>phosphoribosyl bridge from target Ser/Tyr to ubiquitin Arg42</x:v>
      </x:c>
      <x:c r="E18" s="150" t="str">
        <x:v>pathogen-installed enzymatic PTM</x:v>
      </x:c>
      <x:c r="F18" s="150" t="str">
        <x:v>absent exact</x:v>
      </x:c>
      <x:c r="G18" s="150" t="str">
        <x:v>absent exact</x:v>
      </x:c>
      <x:c r="H18" s="151" t="str">
        <x:v>ADD_CORE</x:v>
      </x:c>
      <x:c r="I18" s="185" t="str">
        <x:v>https://doi.org/10.1016/j.molcel.2019.10.019</x:v>
      </x:c>
      <x:c r="J18" s="150" t="str">
        <x:v>Distinct installed graph chemistry from canonical Lys/Gly ubiquitination.</x:v>
      </x:c>
    </x:row>
    <x:row r="19" ht="34.5" customHeight="1">
      <x:c r="A19" s="158" t="str">
        <x:v>nucleotide_conjugation</x:v>
      </x:c>
      <x:c r="B19" s="158" t="str">
        <x:v>ADP-riboxanation</x:v>
      </x:c>
      <x:c r="C19" s="158" t="str">
        <x:v>ADP-riboxanated arginine</x:v>
      </x:c>
      <x:c r="D19" s="158" t="str">
        <x:v>deaminated ADP-ribose on Arg</x:v>
      </x:c>
      <x:c r="E19" s="158" t="str">
        <x:v>pathogen-installed enzymatic PTM</x:v>
      </x:c>
      <x:c r="F19" s="158" t="str">
        <x:v>broader ADP-ribosylation row only</x:v>
      </x:c>
      <x:c r="G19" s="158" t="str">
        <x:v>present exact: microbial ADP-riboxanated arginine</x:v>
      </x:c>
      <x:c r="H19" s="159" t="str">
        <x:v>KEEP_EMPIRICAL_ADD_LINKAGE_SUBTYPE</x:v>
      </x:c>
      <x:c r="I19" s="184" t="str">
        <x:v>https://doi.org/10.1038/s41586-021-04020-1</x:v>
      </x:c>
      <x:c r="J19" s="158" t="str">
        <x:v>Do not add as an empirically absent family; ProteomeScout already has six observations.</x:v>
      </x:c>
    </x:row>
    <x:row r="20" ht="34.5" customHeight="1">
      <x:c r="A20" s="150" t="str">
        <x:v>nucleotide_conjugation</x:v>
      </x:c>
      <x:c r="B20" s="150" t="str">
        <x:v>RNAylation</x:v>
      </x:c>
      <x:c r="C20" s="150" t="str">
        <x:v>protein RNAylation; NAD-RNA transfer</x:v>
      </x:c>
      <x:c r="D20" s="150" t="str">
        <x:v>NAD-capped RNA chain transferred to protein Arg</x:v>
      </x:c>
      <x:c r="E20" s="150" t="str">
        <x:v>phage/pathogen-installed enzymatic PTM</x:v>
      </x:c>
      <x:c r="F20" s="150" t="str">
        <x:v>absent exact</x:v>
      </x:c>
      <x:c r="G20" s="150" t="str">
        <x:v>absent exact</x:v>
      </x:c>
      <x:c r="H20" s="151" t="str">
        <x:v>ADD_CORE</x:v>
      </x:c>
      <x:c r="I20" s="185" t="str">
        <x:v>https://doi.org/10.1038/s41586-023-06429-2</x:v>
      </x:c>
      <x:c r="J20" s="150" t="str">
        <x:v>New macromolecular conjugate; represent RNA sequence/length separately from direct protein linkage.</x:v>
      </x:c>
    </x:row>
    <x:row r="21" ht="34.5" customHeight="1">
      <x:c r="A21" s="158" t="str">
        <x:v>nucleotide_conjugation</x:v>
      </x:c>
      <x:c r="B21" s="158" t="str">
        <x:v>UMPylation</x:v>
      </x:c>
      <x:c r="C21" s="158" t="str">
        <x:v>uridinylylation</x:v>
      </x:c>
      <x:c r="D21" s="158" t="str">
        <x:v>UMP on Tyr/His or other acceptor</x:v>
      </x:c>
      <x:c r="E21" s="158" t="str">
        <x:v>endogenous bacterial enzymatic PTM</x:v>
      </x:c>
      <x:c r="F21" s="158" t="str">
        <x:v>present exact: UMPylation</x:v>
      </x:c>
      <x:c r="G21" s="158" t="str">
        <x:v>absent exact</x:v>
      </x:c>
      <x:c r="H21" s="159" t="str">
        <x:v>KEEP_EXISTING</x:v>
      </x:c>
      <x:c r="I21" s="184" t="str">
        <x:v>https://doi.org/10.1016/j.celrep.2020.108161</x:v>
      </x:c>
      <x:c r="J21" s="158" t="str">
        <x:v>A named dbPTM type missing from the ProteomeScout snapshot, not a novel database addition.</x:v>
      </x:c>
    </x:row>
    <x:row r="22" ht="34.5" customHeight="1">
      <x:c r="A22" s="150" t="str">
        <x:v>nucleotide_conjugation</x:v>
      </x:c>
      <x:c r="B22" s="150" t="str">
        <x:v>phosphocholination</x:v>
      </x:c>
      <x:c r="C22" s="150" t="str">
        <x:v>phosphocholine addition; O-(2-cholinephosphoryl)serine</x:v>
      </x:c>
      <x:c r="D22" s="150" t="str">
        <x:v>phosphodiester on Ser</x:v>
      </x:c>
      <x:c r="E22" s="150" t="str">
        <x:v>pathogen-installed enzymatic PTM</x:v>
      </x:c>
      <x:c r="F22" s="150" t="str">
        <x:v>absent exact</x:v>
      </x:c>
      <x:c r="G22" s="150" t="str">
        <x:v>present exact including microbial-infection label</x:v>
      </x:c>
      <x:c r="H22" s="151" t="str">
        <x:v>KEEP_EMPIRICAL_ADD_DB_SUBTYPE</x:v>
      </x:c>
      <x:c r="I22" s="185" t="str">
        <x:v>https://doi.org/10.1038/nature10335</x:v>
      </x:c>
      <x:c r="J22" s="150" t="str">
        <x:v>ProteomeScout already captures this chemistry; dbPTM 78-row summary does not.</x:v>
      </x:c>
    </x:row>
    <x:row r="23" ht="34.5" customHeight="1">
      <x:c r="A23" s="158" t="str">
        <x:v>complex_small_molecule_conjugation</x:v>
      </x:c>
      <x:c r="B23" s="158" t="str">
        <x:v>phosphoethanolamination</x:v>
      </x:c>
      <x:c r="C23" s="158" t="str">
        <x:v>phosphoethanolamine addition; PEAylation</x:v>
      </x:c>
      <x:c r="D23" s="158" t="str">
        <x:v>phosphodiester on Ser/Thr or other acceptor</x:v>
      </x:c>
      <x:c r="E23" s="158" t="str">
        <x:v>natural bacterial enzymatic PTM</x:v>
      </x:c>
      <x:c r="F23" s="158" t="str">
        <x:v>absent exact</x:v>
      </x:c>
      <x:c r="G23" s="158" t="str">
        <x:v>absent exact</x:v>
      </x:c>
      <x:c r="H23" s="159" t="str">
        <x:v>ADD_EXTENDED</x:v>
      </x:c>
      <x:c r="I23" s="184" t="str">
        <x:v>https://doi.org/10.1074/jbc.M604324200</x:v>
      </x:c>
      <x:c r="J23" s="158" t="str">
        <x:v>Validated on Neisseria pilin; keep distinct from phosphocholine and membrane lipidation.</x:v>
      </x:c>
    </x:row>
    <x:row r="24" ht="34.5" customHeight="1">
      <x:c r="A24" s="150" t="str">
        <x:v>complex_small_molecule_conjugation</x:v>
      </x:c>
      <x:c r="B24" s="150" t="str">
        <x:v>ethanolamine phosphoglycerol addition</x:v>
      </x:c>
      <x:c r="C24" s="150" t="str">
        <x:v>EPG; PGE; 5-glutamyl glycerylphosphorylethanolamine</x:v>
      </x:c>
      <x:c r="D24" s="150" t="str">
        <x:v>amide at glutamate side chain</x:v>
      </x:c>
      <x:c r="E24" s="150" t="str">
        <x:v>endogenous enzymatic PTM</x:v>
      </x:c>
      <x:c r="F24" s="150" t="str">
        <x:v>absent exact</x:v>
      </x:c>
      <x:c r="G24" s="150" t="str">
        <x:v>present exact</x:v>
      </x:c>
      <x:c r="H24" s="151" t="str">
        <x:v>KEEP_EMPIRICAL</x:v>
      </x:c>
      <x:c r="I24" s="185" t="str">
        <x:v>https://doi.org/10.1074/jbc.M802430200</x:v>
      </x:c>
      <x:c r="J24" s="150" t="str">
        <x:v>ProteomeScout already has 20 observations under the systematic name.</x:v>
      </x:c>
    </x:row>
    <x:row r="25" ht="34.5" customHeight="1">
      <x:c r="A25" s="158" t="str">
        <x:v>amino_acid_chain_conjugation</x:v>
      </x:c>
      <x:c r="B25" s="158" t="str">
        <x:v>SidJ-catalyzed glutamylation</x:v>
      </x:c>
      <x:c r="C25" s="158" t="str">
        <x:v>polyglutamylation of SdeA catalytic Glu</x:v>
      </x:c>
      <x:c r="D25" s="158" t="str">
        <x:v>gamma-glutamyl chain on glutamate</x:v>
      </x:c>
      <x:c r="E25" s="158" t="str">
        <x:v>pathogen-installed enzymatic PTM</x:v>
      </x:c>
      <x:c r="F25" s="158" t="str">
        <x:v>absent exact</x:v>
      </x:c>
      <x:c r="G25" s="158" t="str">
        <x:v>generic 5-glutamyl glutamate/polyglutamate labels present</x:v>
      </x:c>
      <x:c r="H25" s="159" t="str">
        <x:v>MERGE_CONTEXT_SUBTYPE</x:v>
      </x:c>
      <x:c r="I25" s="184" t="str">
        <x:v>https://doi.org/10.7554/eLife.51162</x:v>
      </x:c>
      <x:c r="J25" s="158" t="str">
        <x:v>Add pathogen/writer context, not a duplicate top-level polyglutamylation family.</x:v>
      </x:c>
    </x:row>
    <x:row r="26" ht="34.5" customHeight="1">
      <x:c r="A26" s="150" t="str">
        <x:v>nucleotide_conjugation</x:v>
      </x:c>
      <x:c r="B26" s="150" t="str">
        <x:v>non-AMP/UMP NMPylation</x:v>
      </x:c>
      <x:c r="C26" s="150" t="str">
        <x:v>GMPylation; CMPylation; TMPylation</x:v>
      </x:c>
      <x:c r="D26" s="150" t="str">
        <x:v>hypothetical NMP transfer</x:v>
      </x:c>
      <x:c r="E26" s="150" t="str">
        <x:v>only promiscuous/in-vitro evidence located</x:v>
      </x:c>
      <x:c r="F26" s="150" t="str">
        <x:v>absent exact</x:v>
      </x:c>
      <x:c r="G26" s="150" t="str">
        <x:v>absent exact</x:v>
      </x:c>
      <x:c r="H26" s="151" t="str">
        <x:v>EXCLUDE_UNTIL_IN_VIVO_EVIDENCE</x:v>
      </x:c>
      <x:c r="I26" s="185" t="str">
        <x:v>https://doi.org/10.1038/nrmicro3520</x:v>
      </x:c>
      <x:c r="J26" s="150" t="str">
        <x:v>Do not extrapolate broad Fic-domain chemistry into confirmed natural PTM families.</x:v>
      </x:c>
    </x:row>
    <x:row r="27" ht="34.5" customHeight="1">
      <x:c r="A27" s="158" t="str">
        <x:v>protein_tag</x:v>
      </x:c>
      <x:c r="B27" s="158" t="str">
        <x:v>ISG15 conjugation</x:v>
      </x:c>
      <x:c r="C27" s="158" t="str">
        <x:v>ISGylation</x:v>
      </x:c>
      <x:c r="D27" s="158" t="str">
        <x:v>C-terminal Gly of ISG15 to substrate Lys isopeptide</x:v>
      </x:c>
      <x:c r="E27" s="158" t="str">
        <x:v>endogenous interferon-induced enzymatic PTM</x:v>
      </x:c>
      <x:c r="F27" s="158" t="str">
        <x:v>absent exact</x:v>
      </x:c>
      <x:c r="G27" s="158" t="str">
        <x:v>absent exact</x:v>
      </x:c>
      <x:c r="H27" s="159" t="str">
        <x:v>ADD_CORE</x:v>
      </x:c>
      <x:c r="I27" s="184" t="str">
        <x:v>https://doi.org/10.1038/s12276-022-00872-3</x:v>
      </x:c>
      <x:c r="J27" s="158" t="str">
        <x:v>Established ubiquitin-like conjugation omitted from both cross-check lists.</x:v>
      </x:c>
    </x:row>
    <x:row r="28" ht="34.5" customHeight="1">
      <x:c r="A28" s="150" t="str">
        <x:v>protein_tag</x:v>
      </x:c>
      <x:c r="B28" s="150" t="str">
        <x:v>UFM1 conjugation</x:v>
      </x:c>
      <x:c r="C28" s="150" t="str">
        <x:v>UFMylation</x:v>
      </x:c>
      <x:c r="D28" s="150" t="str">
        <x:v>C-terminal Gly of UFM1 to substrate Lys isopeptide</x:v>
      </x:c>
      <x:c r="E28" s="150" t="str">
        <x:v>endogenous enzymatic PTM</x:v>
      </x:c>
      <x:c r="F28" s="150" t="str">
        <x:v>absent exact</x:v>
      </x:c>
      <x:c r="G28" s="150" t="str">
        <x:v>absent exact</x:v>
      </x:c>
      <x:c r="H28" s="151" t="str">
        <x:v>ADD_CORE</x:v>
      </x:c>
      <x:c r="I28" s="185" t="str">
        <x:v>https://doi.org/10.1038/s41580-025-00944-y</x:v>
      </x:c>
      <x:c r="J28" s="150" t="str">
        <x:v>Established and mechanistically distinct UBL pathway; RPL26 is a major substrate.</x:v>
      </x:c>
    </x:row>
    <x:row r="29" ht="34.5" customHeight="1">
      <x:c r="A29" s="158" t="str">
        <x:v>protein_tag</x:v>
      </x:c>
      <x:c r="B29" s="158" t="str">
        <x:v>FAT10 conjugation</x:v>
      </x:c>
      <x:c r="C29" s="158" t="str">
        <x:v>FAT10ylation</x:v>
      </x:c>
      <x:c r="D29" s="158" t="str">
        <x:v>C-terminal Gly of FAT10 to substrate Lys isopeptide</x:v>
      </x:c>
      <x:c r="E29" s="158" t="str">
        <x:v>endogenous immune-regulated enzymatic PTM</x:v>
      </x:c>
      <x:c r="F29" s="158" t="str">
        <x:v>absent exact</x:v>
      </x:c>
      <x:c r="G29" s="158" t="str">
        <x:v>absent exact</x:v>
      </x:c>
      <x:c r="H29" s="159" t="str">
        <x:v>ADD_CORE</x:v>
      </x:c>
      <x:c r="I29" s="184" t="str">
        <x:v>https://doi.org/10.1038/s41467-018-05776-3</x:v>
      </x:c>
      <x:c r="J29" s="158" t="str">
        <x:v>Validated covalent tag; do not merge with ubiquitin merely because linkage is isopeptidic.</x:v>
      </x:c>
    </x:row>
    <x:row r="30" ht="34.5" customHeight="1">
      <x:c r="A30" s="150" t="str">
        <x:v>protein_tag</x:v>
      </x:c>
      <x:c r="B30" s="150" t="str">
        <x:v>URM1 conjugation</x:v>
      </x:c>
      <x:c r="C30" s="150" t="str">
        <x:v>URMylation</x:v>
      </x:c>
      <x:c r="D30" s="150" t="str">
        <x:v>Urm1 C terminus to substrate Lys isopeptide</x:v>
      </x:c>
      <x:c r="E30" s="150" t="str">
        <x:v>endogenous stress-responsive enzymatic PTM</x:v>
      </x:c>
      <x:c r="F30" s="150" t="str">
        <x:v>absent exact</x:v>
      </x:c>
      <x:c r="G30" s="150" t="str">
        <x:v>absent exact</x:v>
      </x:c>
      <x:c r="H30" s="151" t="str">
        <x:v>ADD_EXTENDED</x:v>
      </x:c>
      <x:c r="I30" s="185" t="str">
        <x:v>https://doi.org/10.1016/j.cellsig.2021.109946</x:v>
      </x:c>
      <x:c r="J30" s="150" t="str">
        <x:v>Rare but established UBL conjugation; also distinguish Urm1 sulfur-carrier function.</x:v>
      </x:c>
    </x:row>
    <x:row r="31" ht="34.5" customHeight="1">
      <x:c r="A31" s="158" t="str">
        <x:v>protein_tag</x:v>
      </x:c>
      <x:c r="B31" s="158" t="str">
        <x:v>protein ATG8 conjugation</x:v>
      </x:c>
      <x:c r="C31" s="158" t="str">
        <x:v>protein ATG8ylation; ATG8ylation</x:v>
      </x:c>
      <x:c r="D31" s="158" t="str">
        <x:v>ATG8 C-terminal Gly to protein Lys isopeptide</x:v>
      </x:c>
      <x:c r="E31" s="158" t="str">
        <x:v>endogenous enzymatic PTM; newly demonstrated</x:v>
      </x:c>
      <x:c r="F31" s="158" t="str">
        <x:v>absent exact</x:v>
      </x:c>
      <x:c r="G31" s="158" t="str">
        <x:v>absent exact</x:v>
      </x:c>
      <x:c r="H31" s="159" t="str">
        <x:v>ADD_CORE_EMERGING</x:v>
      </x:c>
      <x:c r="I31" s="184" t="str">
        <x:v>https://doi.org/10.1016/j.celrep.2025.116485</x:v>
      </x:c>
      <x:c r="J31" s="158" t="str">
        <x:v>Do not confuse protein ATG8ylation with canonical ATG8 phospholipidation.</x:v>
      </x:c>
    </x:row>
    <x:row r="32" ht="34.5" customHeight="1">
      <x:c r="A32" s="150" t="str">
        <x:v>protein_tag</x:v>
      </x:c>
      <x:c r="B32" s="150" t="str">
        <x:v>ATG12 protein conjugation</x:v>
      </x:c>
      <x:c r="C32" s="150" t="str">
        <x:v>ATG12ylation; ATG12-ATG5; ATG12-ATG3</x:v>
      </x:c>
      <x:c r="D32" s="150" t="str">
        <x:v>ATG12 C-terminal Gly to substrate Lys isopeptide</x:v>
      </x:c>
      <x:c r="E32" s="150" t="str">
        <x:v>endogenous enzymatic PTM</x:v>
      </x:c>
      <x:c r="F32" s="150" t="str">
        <x:v>absent exact</x:v>
      </x:c>
      <x:c r="G32" s="150" t="str">
        <x:v>absent exact</x:v>
      </x:c>
      <x:c r="H32" s="151" t="str">
        <x:v>ADD_EXTENDED</x:v>
      </x:c>
      <x:c r="I32" s="185" t="str">
        <x:v>https://doi.org/10.1021/acs.chemrev.6b00737</x:v>
      </x:c>
      <x:c r="J32" s="150" t="str">
        <x:v>Established autophagy conjugates; retain target-specific biological context.</x:v>
      </x:c>
    </x:row>
    <x:row r="33" ht="34.5" customHeight="1">
      <x:c r="A33" s="158" t="str">
        <x:v>protein_tag</x:v>
      </x:c>
      <x:c r="B33" s="158" t="str">
        <x:v>Pup conjugation</x:v>
      </x:c>
      <x:c r="C33" s="158" t="str">
        <x:v>Pupylation</x:v>
      </x:c>
      <x:c r="D33" s="158" t="str">
        <x:v>Pup C-terminal Glu to substrate Lys isopeptide</x:v>
      </x:c>
      <x:c r="E33" s="158" t="str">
        <x:v>prokaryotic enzymatic PTM</x:v>
      </x:c>
      <x:c r="F33" s="158" t="str">
        <x:v>present exact: Pupylation</x:v>
      </x:c>
      <x:c r="G33" s="158" t="str">
        <x:v>absent exact</x:v>
      </x:c>
      <x:c r="H33" s="159" t="str">
        <x:v>KEEP_EXISTING</x:v>
      </x:c>
      <x:c r="I33" s="184" t="str">
        <x:v>https://doi.org/10.1146/annurev-micro-091313-103447</x:v>
      </x:c>
      <x:c r="J33" s="158" t="str">
        <x:v>Named dbPTM type; missing from the ProteomeScout snapshot.</x:v>
      </x:c>
    </x:row>
    <x:row r="34" ht="34.5" customHeight="1">
      <x:c r="A34" s="150" t="str">
        <x:v>protein_tag</x:v>
      </x:c>
      <x:c r="B34" s="150" t="str">
        <x:v>SAMP conjugation</x:v>
      </x:c>
      <x:c r="C34" s="150" t="str">
        <x:v>SAMPylation; SAMP1/SAMP2 conjugation</x:v>
      </x:c>
      <x:c r="D34" s="150" t="str">
        <x:v>archaeal UBL C terminus to substrate Lys</x:v>
      </x:c>
      <x:c r="E34" s="150" t="str">
        <x:v>archaeal enzymatic PTM</x:v>
      </x:c>
      <x:c r="F34" s="150" t="str">
        <x:v>absent exact</x:v>
      </x:c>
      <x:c r="G34" s="150" t="str">
        <x:v>absent exact</x:v>
      </x:c>
      <x:c r="H34" s="151" t="str">
        <x:v>ADD_EXTENDED</x:v>
      </x:c>
      <x:c r="I34" s="185" t="str">
        <x:v>https://doi.org/10.1146/annurev-micro-091313-103447</x:v>
      </x:c>
      <x:c r="J34" s="150" t="str">
        <x:v>Established archaeal ubiquitin-like pathway.</x:v>
      </x:c>
    </x:row>
    <x:row r="35" ht="34.5" customHeight="1">
      <x:c r="A35" s="158" t="str">
        <x:v>protein_tag</x:v>
      </x:c>
      <x:c r="B35" s="158" t="str">
        <x:v>bacterial cGAS conjugation</x:v>
      </x:c>
      <x:c r="C35" s="158" t="str">
        <x:v>cGASylation; Cap2-mediated cGAS conjugation</x:v>
      </x:c>
      <x:c r="D35" s="158" t="str">
        <x:v>cGAS C terminus covalently linked to target Lys</x:v>
      </x:c>
      <x:c r="E35" s="158" t="str">
        <x:v>bacterial antiviral enzymatic PTM</x:v>
      </x:c>
      <x:c r="F35" s="158" t="str">
        <x:v>absent exact</x:v>
      </x:c>
      <x:c r="G35" s="158" t="str">
        <x:v>absent exact</x:v>
      </x:c>
      <x:c r="H35" s="159" t="str">
        <x:v>ADD_CORE_EMERGING</x:v>
      </x:c>
      <x:c r="I35" s="184" t="str">
        <x:v>https://doi.org/10.1038/s41586-023-05862-7</x:v>
      </x:c>
      <x:c r="J35" s="158" t="str">
        <x:v>New bacterial protein-conjugation chemistry with experimental targets.</x:v>
      </x:c>
    </x:row>
    <x:row r="36" ht="34.5" customHeight="1">
      <x:c r="A36" s="150" t="str">
        <x:v>protein_tag</x:v>
      </x:c>
      <x:c r="B36" s="150" t="str">
        <x:v>BilA conjugation</x:v>
      </x:c>
      <x:c r="C36" s="150" t="str">
        <x:v>Bilylation; BilABCD</x:v>
      </x:c>
      <x:c r="D36" s="150" t="str">
        <x:v>BilA C terminus covalently linked to phage protein Lys</x:v>
      </x:c>
      <x:c r="E36" s="150" t="str">
        <x:v>bacterial antiviral enzymatic PTM</x:v>
      </x:c>
      <x:c r="F36" s="150" t="str">
        <x:v>absent exact</x:v>
      </x:c>
      <x:c r="G36" s="150" t="str">
        <x:v>absent exact</x:v>
      </x:c>
      <x:c r="H36" s="151" t="str">
        <x:v>ADD_CORE_EMERGING</x:v>
      </x:c>
      <x:c r="I36" s="185" t="str">
        <x:v>https://doi.org/10.1038/s41586-024-07616-5</x:v>
      </x:c>
      <x:c r="J36" s="150" t="str">
        <x:v>2024 experiments identify covalent phage-tail-fiber targeting; mechanism also DOI 10.1038/s41586-024-07730-4.</x:v>
      </x:c>
    </x:row>
    <x:row r="37" ht="34.5" customHeight="1">
      <x:c r="A37" s="158" t="str">
        <x:v>protein_tag</x:v>
      </x:c>
      <x:c r="B37" s="158" t="str">
        <x:v>Bub conjugation</x:v>
      </x:c>
      <x:c r="C37" s="158" t="str">
        <x:v>Bubylation</x:v>
      </x:c>
      <x:c r="D37" s="158" t="str">
        <x:v>bacterial ubiquitin-like conjugation</x:v>
      </x:c>
      <x:c r="E37" s="158" t="str">
        <x:v>bacterial antiviral enzymatic PTM; very new</x:v>
      </x:c>
      <x:c r="F37" s="158" t="str">
        <x:v>absent exact</x:v>
      </x:c>
      <x:c r="G37" s="158" t="str">
        <x:v>absent exact</x:v>
      </x:c>
      <x:c r="H37" s="159" t="str">
        <x:v>ADD_EXTENDED_EMERGING</x:v>
      </x:c>
      <x:c r="I37" s="184" t="str">
        <x:v>https://doi.org/10.1038/s41594-025-01696-1</x:v>
      </x:c>
      <x:c r="J37" s="158" t="str">
        <x:v>Include with emerging-evidence flag rather than treating as mature site database.</x:v>
      </x:c>
    </x:row>
    <x:row r="38" ht="34.5" customHeight="1">
      <x:c r="A38" s="150" t="str">
        <x:v>protein_tag</x:v>
      </x:c>
      <x:c r="B38" s="150" t="str">
        <x:v>UBact</x:v>
      </x:c>
      <x:c r="C38" s="150" t="str">
        <x:v>putative bacterial ubiquitin-like modifier</x:v>
      </x:c>
      <x:c r="D38" s="150" t="str">
        <x:v>predicted UBL conjugation</x:v>
      </x:c>
      <x:c r="E38" s="150" t="str">
        <x:v>bioinformatically inferred; no validated conjugate set</x:v>
      </x:c>
      <x:c r="F38" s="150" t="str">
        <x:v>absent exact</x:v>
      </x:c>
      <x:c r="G38" s="150" t="str">
        <x:v>absent exact</x:v>
      </x:c>
      <x:c r="H38" s="151" t="str">
        <x:v>EXCLUDE_CONFIRMED_LEDGER</x:v>
      </x:c>
      <x:c r="I38" s="185" t="str">
        <x:v>https://doi.org/10.1016/j.bbrc.2017.01.037</x:v>
      </x:c>
      <x:c r="J38" s="150" t="str">
        <x:v>Keep on watchlist only until covalent substrates are experimentally demonstrated.</x:v>
      </x:c>
    </x:row>
    <x:row r="39" ht="34.5" customHeight="1">
      <x:c r="A39" s="158" t="str">
        <x:v>protein_tag</x:v>
      </x:c>
      <x:c r="B39" s="158" t="str">
        <x:v>type-II UBLs without demonstrated conjugation</x:v>
      </x:c>
      <x:c r="C39" s="158" t="str">
        <x:v>FUBI; MUB; UBL5</x:v>
      </x:c>
      <x:c r="D39" s="158" t="str">
        <x:v>no verified canonical substrate linkage</x:v>
      </x:c>
      <x:c r="E39" s="158" t="str">
        <x:v>natural proteins but conjugation status unsupported</x:v>
      </x:c>
      <x:c r="F39" s="158" t="str">
        <x:v>absent exact</x:v>
      </x:c>
      <x:c r="G39" s="158" t="str">
        <x:v>absent exact</x:v>
      </x:c>
      <x:c r="H39" s="159" t="str">
        <x:v>EXCLUDE_AS_PTM</x:v>
      </x:c>
      <x:c r="I39" s="184" t="str">
        <x:v>https://doi.org/10.1021/acs.chemrev.6b00737</x:v>
      </x:c>
      <x:c r="J39" s="158" t="str">
        <x:v>Presence of a ubiquitin-like fold does not establish a covalent protein PTM.</x:v>
      </x:c>
    </x:row>
    <x:row r="40" ht="34.5" customHeight="1">
      <x:c r="A40" s="150" t="str">
        <x:v>monoaminylation</x:v>
      </x:c>
      <x:c r="B40" s="150" t="str">
        <x:v>protein monoaminylation</x:v>
      </x:c>
      <x:c r="C40" s="150" t="str">
        <x:v>serotonylation; dopaminylation; histaminylation; noradrenalinylation</x:v>
      </x:c>
      <x:c r="D40" s="150" t="str">
        <x:v>transglutaminase-mediated monoamine-to-Gln isopeptide</x:v>
      </x:c>
      <x:c r="E40" s="150" t="str">
        <x:v>endogenous enzymatic; noradrenaline evidence is narrower</x:v>
      </x:c>
      <x:c r="F40" s="150" t="str">
        <x:v>Serotonylation present; other donors absent exact</x:v>
      </x:c>
      <x:c r="G40" s="150" t="str">
        <x:v>all four absent exact</x:v>
      </x:c>
      <x:c r="H40" s="151" t="str">
        <x:v>ADD_UMBRELLA_WITH_DONOR_FIELD</x:v>
      </x:c>
      <x:c r="I40" s="185" t="str">
        <x:v>https://doi.org/10.1038/s41586-024-08371-3</x:v>
      </x:c>
      <x:c r="J40" s="150" t="str">
        <x:v>Serotonylation DOI 10.1038/s41586-019-1024-7; dopaminylation DOI 10.1126/science.aaw8806; noradrenalinylation DOI 10.1016/j.febslet.2012.07.062. Do not count each donor as a top-level mechanism.</x:v>
      </x:c>
    </x:row>
    <x:row r="41" ht="34.5" customHeight="1">
      <x:c r="A41" s="158" t="str">
        <x:v>bacterial_translation_factor</x:v>
      </x:c>
      <x:c r="B41" s="158" t="str">
        <x:v>EF-P beta-lysylation</x:v>
      </x:c>
      <x:c r="C41" s="158" t="str">
        <x:v>beta-lysinylation; (R)-beta-lysyl-Lys</x:v>
      </x:c>
      <x:c r="D41" s="158" t="str">
        <x:v>beta-lysine attached to EF-P Lys</x:v>
      </x:c>
      <x:c r="E41" s="158" t="str">
        <x:v>bacterial enzymatic PTM</x:v>
      </x:c>
      <x:c r="F41" s="158" t="str">
        <x:v>absent exact</x:v>
      </x:c>
      <x:c r="G41" s="158" t="str">
        <x:v>absent exact</x:v>
      </x:c>
      <x:c r="H41" s="159" t="str">
        <x:v>ADD_CORE</x:v>
      </x:c>
      <x:c r="I41" s="184" t="str">
        <x:v>https://doi.org/10.1074/jbc.M111.309633</x:v>
      </x:c>
      <x:c r="J41" s="158" t="str">
        <x:v>One of several mutually exclusive EF-P activation chemistries.</x:v>
      </x:c>
    </x:row>
    <x:row r="42" ht="34.5" customHeight="1">
      <x:c r="A42" s="150" t="str">
        <x:v>bacterial_translation_factor</x:v>
      </x:c>
      <x:c r="B42" s="150" t="str">
        <x:v>EF-P arginine rhamnosylation</x:v>
      </x:c>
      <x:c r="C42" s="150" t="str">
        <x:v>EarP-mediated rhamnosylation</x:v>
      </x:c>
      <x:c r="D42" s="150" t="str">
        <x:v>alpha-L-rhamnose N-linked to Arg guanidino group</x:v>
      </x:c>
      <x:c r="E42" s="150" t="str">
        <x:v>bacterial enzymatic PTM</x:v>
      </x:c>
      <x:c r="F42" s="150" t="str">
        <x:v>absent exact</x:v>
      </x:c>
      <x:c r="G42" s="150" t="str">
        <x:v>absent exact</x:v>
      </x:c>
      <x:c r="H42" s="151" t="str">
        <x:v>ADD_CORE</x:v>
      </x:c>
      <x:c r="I42" s="185" t="str">
        <x:v>https://doi.org/10.1038/nchembio.1751</x:v>
      </x:c>
      <x:c r="J42" s="150" t="str">
        <x:v>Unusual N-linked Arg glycosylation; encode sugar, residue and anomer/linkage.</x:v>
      </x:c>
    </x:row>
    <x:row r="43" ht="34.5" customHeight="1">
      <x:c r="A43" s="158" t="str">
        <x:v>bacterial_translation_factor</x:v>
      </x:c>
      <x:c r="B43" s="158" t="str">
        <x:v>EF-P 5-aminopentanolylation</x:v>
      </x:c>
      <x:c r="C43" s="158" t="str">
        <x:v>aminopentanolylation</x:v>
      </x:c>
      <x:c r="D43" s="158" t="str">
        <x:v>5-aminopentanol attached to EF-P Lys</x:v>
      </x:c>
      <x:c r="E43" s="158" t="str">
        <x:v>bacterial enzymatic PTM</x:v>
      </x:c>
      <x:c r="F43" s="158" t="str">
        <x:v>absent exact</x:v>
      </x:c>
      <x:c r="G43" s="158" t="str">
        <x:v>absent exact</x:v>
      </x:c>
      <x:c r="H43" s="159" t="str">
        <x:v>ADD_CORE</x:v>
      </x:c>
      <x:c r="I43" s="184" t="str">
        <x:v>https://doi.org/10.1002/2211-5463.12901</x:v>
      </x:c>
      <x:c r="J43" s="158" t="str">
        <x:v>Distinct EF-P activation chemistry in organisms including Staphylococcus aureus.</x:v>
      </x:c>
    </x:row>
    <x:row r="44" ht="34.5" customHeight="1">
      <x:c r="A44" s="150" t="str">
        <x:v>bacterial_glycosylation</x:v>
      </x:c>
      <x:c r="B44" s="150" t="str">
        <x:v>arginine GlcNAcylation</x:v>
      </x:c>
      <x:c r="C44" s="150" t="str">
        <x:v>Arg-GlcNAc; NleB/SseK glycosylation</x:v>
      </x:c>
      <x:c r="D44" s="150" t="str">
        <x:v>beta-GlcNAc N-linked to Arg guanidino group</x:v>
      </x:c>
      <x:c r="E44" s="150" t="str">
        <x:v>pathogen-installed enzymatic PTM</x:v>
      </x:c>
      <x:c r="F44" s="150" t="str">
        <x:v>absent exact</x:v>
      </x:c>
      <x:c r="G44" s="150" t="str">
        <x:v>absent exact</x:v>
      </x:c>
      <x:c r="H44" s="151" t="str">
        <x:v>ADD_CORE</x:v>
      </x:c>
      <x:c r="I44" s="185" t="str">
        <x:v>https://doi.org/10.1038/s41467-018-06680-6</x:v>
      </x:c>
      <x:c r="J44" s="150" t="str">
        <x:v>Not covered by N/O/C/S glycosylation labels; direct linkage is to Arg nitrogen.</x:v>
      </x:c>
    </x:row>
    <x:row r="45" ht="34.5" customHeight="1">
      <x:c r="A45" s="158" t="str">
        <x:v>bacterial_ribosome</x:v>
      </x:c>
      <x:c r="B45" s="158" t="str">
        <x:v>RimO methylthiolation</x:v>
      </x:c>
      <x:c r="C45" s="158" t="str">
        <x:v>beta-methylthiolation; 3-methylthioaspartate</x:v>
      </x:c>
      <x:c r="D45" s="158" t="str">
        <x:v>methylthio group on Asp C3 of ribosomal protein S12</x:v>
      </x:c>
      <x:c r="E45" s="158" t="str">
        <x:v>bacterial radical-SAM enzymatic PTM</x:v>
      </x:c>
      <x:c r="F45" s="158" t="str">
        <x:v>absent exact</x:v>
      </x:c>
      <x:c r="G45" s="158" t="str">
        <x:v>absent exact</x:v>
      </x:c>
      <x:c r="H45" s="159" t="str">
        <x:v>ADD_EXTENDED</x:v>
      </x:c>
      <x:c r="I45" s="184" t="str">
        <x:v>https://doi.org/10.1073/pnas.0708608105</x:v>
      </x:c>
      <x:c r="J45" s="158" t="str">
        <x:v>UniProt has 3-methylthioaspartic acid; distinct from ordinary methylation or thiolation.</x:v>
      </x:c>
    </x:row>
    <x:row r="46" ht="34.5" customHeight="1">
      <x:c r="A46" s="150" t="str">
        <x:v>redox_or_electrophile_adduct</x:v>
      </x:c>
      <x:c r="B46" s="150" t="str">
        <x:v>CoAlation</x:v>
      </x:c>
      <x:c r="C46" s="150" t="str">
        <x:v>protein CoAlation; S-CoA</x:v>
      </x:c>
      <x:c r="D46" s="150" t="str">
        <x:v>mixed disulfide between CoA and protein Cys</x:v>
      </x:c>
      <x:c r="E46" s="150" t="str">
        <x:v>endogenous reversible redox PTM</x:v>
      </x:c>
      <x:c r="F46" s="150" t="str">
        <x:v>absent exact</x:v>
      </x:c>
      <x:c r="G46" s="150" t="str">
        <x:v>absent exact</x:v>
      </x:c>
      <x:c r="H46" s="151" t="str">
        <x:v>ADD_CORE</x:v>
      </x:c>
      <x:c r="I46" s="185" t="str">
        <x:v>https://doi.org/10.1042/BCJ20170129</x:v>
      </x:c>
      <x:c r="J46" s="150" t="str">
        <x:v>Graph should represent the large CoA moiety and disulfide linkage, not generic cysteine oxidation.</x:v>
      </x:c>
    </x:row>
    <x:row r="47" ht="34.5" customHeight="1">
      <x:c r="A47" s="158" t="str">
        <x:v>redox_or_electrophile_adduct</x:v>
      </x:c>
      <x:c r="B47" s="158" t="str">
        <x:v>S-itaconation</x:v>
      </x:c>
      <x:c r="C47" s="158" t="str">
        <x:v>itaconation; cysteine itaconate adduct</x:v>
      </x:c>
      <x:c r="D47" s="158" t="str">
        <x:v>Michael-type covalent adduct on Cys</x:v>
      </x:c>
      <x:c r="E47" s="158" t="str">
        <x:v>endogenous immunometabolite-driven nonenzymatic PTM</x:v>
      </x:c>
      <x:c r="F47" s="158" t="str">
        <x:v>absent exact</x:v>
      </x:c>
      <x:c r="G47" s="158" t="str">
        <x:v>absent exact</x:v>
      </x:c>
      <x:c r="H47" s="159" t="str">
        <x:v>ADD_EXTENDED_DAMAGE_SIGNAL_LAYER</x:v>
      </x:c>
      <x:c r="I47" s="184" t="str">
        <x:v>https://doi.org/10.1039/D1SC00660F</x:v>
      </x:c>
      <x:c r="J47" s="158" t="str">
        <x:v>Natural in biological context but nonenzymatic; do not label a writer enzyme.</x:v>
      </x:c>
    </x:row>
    <x:row r="48" ht="34.5" customHeight="1">
      <x:c r="A48" s="150" t="str">
        <x:v>redox_or_electrophile_adduct</x:v>
      </x:c>
      <x:c r="B48" s="150" t="str">
        <x:v>S-bacillithiolation</x:v>
      </x:c>
      <x:c r="C48" s="150" t="str">
        <x:v>bacillithiolation</x:v>
      </x:c>
      <x:c r="D48" s="150" t="str">
        <x:v>mixed disulfide between bacillithiol and protein Cys</x:v>
      </x:c>
      <x:c r="E48" s="150" t="str">
        <x:v>bacterial endogenous reversible redox PTM</x:v>
      </x:c>
      <x:c r="F48" s="150" t="str">
        <x:v>absent exact</x:v>
      </x:c>
      <x:c r="G48" s="150" t="str">
        <x:v>absent exact</x:v>
      </x:c>
      <x:c r="H48" s="151" t="str">
        <x:v>ADD_CORE_BACTERIAL</x:v>
      </x:c>
      <x:c r="I48" s="185" t="str">
        <x:v>https://doi.org/10.1016/j.redox.2018.08.017</x:v>
      </x:c>
      <x:c r="J48" s="150" t="str">
        <x:v>UniProt PTM-0452; distinct low-molecular-weight thiol from glutathione.</x:v>
      </x:c>
    </x:row>
    <x:row r="49" ht="34.5" customHeight="1">
      <x:c r="A49" s="158" t="str">
        <x:v>redox_or_electrophile_adduct</x:v>
      </x:c>
      <x:c r="B49" s="158" t="str">
        <x:v>S-mycothiolation</x:v>
      </x:c>
      <x:c r="C49" s="158" t="str">
        <x:v>mycothiolation</x:v>
      </x:c>
      <x:c r="D49" s="158" t="str">
        <x:v>mixed disulfide between mycothiol and protein Cys</x:v>
      </x:c>
      <x:c r="E49" s="158" t="str">
        <x:v>actinobacterial endogenous reversible redox PTM</x:v>
      </x:c>
      <x:c r="F49" s="158" t="str">
        <x:v>absent exact</x:v>
      </x:c>
      <x:c r="G49" s="158" t="str">
        <x:v>absent exact</x:v>
      </x:c>
      <x:c r="H49" s="159" t="str">
        <x:v>ADD_CORE_BACTERIAL</x:v>
      </x:c>
      <x:c r="I49" s="184" t="str">
        <x:v>https://doi.org/10.1016/j.redox.2018.08.017</x:v>
      </x:c>
      <x:c r="J49" s="158" t="str">
        <x:v>Keep thiol identity as an installed-moiety field.</x:v>
      </x:c>
    </x:row>
    <x:row r="50" ht="34.5" customHeight="1">
      <x:c r="A50" s="150" t="str">
        <x:v>redox_or_electrophile_adduct</x:v>
      </x:c>
      <x:c r="B50" s="150" t="str">
        <x:v>S-nitroalkylation</x:v>
      </x:c>
      <x:c r="C50" s="150" t="str">
        <x:v>nitro-fatty-acid adduction; nitroalkylation</x:v>
      </x:c>
      <x:c r="D50" s="150" t="str">
        <x:v>reversible electrophile adduct on nucleophilic residue, commonly Cys</x:v>
      </x:c>
      <x:c r="E50" s="150" t="str">
        <x:v>endogenous lipid-electrophile signaling PTM</x:v>
      </x:c>
      <x:c r="F50" s="150" t="str">
        <x:v>absent exact</x:v>
      </x:c>
      <x:c r="G50" s="150" t="str">
        <x:v>absent exact</x:v>
      </x:c>
      <x:c r="H50" s="151" t="str">
        <x:v>ADD_EXTENDED</x:v>
      </x:c>
      <x:c r="I50" s="185" t="str">
        <x:v>https://doi.org/10.1073/pnas.2208924120</x:v>
      </x:c>
      <x:c r="J50" s="150" t="str">
        <x:v>Separate from nitration and S-nitrosylation.</x:v>
      </x:c>
    </x:row>
    <x:row r="51" ht="34.5" customHeight="1">
      <x:c r="A51" s="158" t="str">
        <x:v>redox_crosslink</x:v>
      </x:c>
      <x:c r="B51" s="158" t="str">
        <x:v>NOS/SONOS bridge</x:v>
      </x:c>
      <x:c r="C51" s="158" t="str">
        <x:v>nitrogen-oxygen-sulfur bridge; sulfur-oxygen-nitrogen-oxygen-sulfur bridge</x:v>
      </x:c>
      <x:c r="D51" s="158" t="str">
        <x:v>Lys-O-Cys or Cys-O-Lys-O-Cys covalent redox crosslink</x:v>
      </x:c>
      <x:c r="E51" s="158" t="str">
        <x:v>natural reversible structural redox switch</x:v>
      </x:c>
      <x:c r="F51" s="158" t="str">
        <x:v>absent exact</x:v>
      </x:c>
      <x:c r="G51" s="158" t="str">
        <x:v>absent exact</x:v>
      </x:c>
      <x:c r="H51" s="159" t="str">
        <x:v>ADD_EXTENDED_EMERGING</x:v>
      </x:c>
      <x:c r="I51" s="184" t="str">
        <x:v>https://doi.org/10.1038/s41589-021-00966-5</x:v>
      </x:c>
      <x:c r="J51" s="158" t="str">
        <x:v>Crosslink topology requires two or three residue identifiers, not a single-site label.</x:v>
      </x:c>
    </x:row>
    <x:row r="52" ht="34.5" customHeight="1">
      <x:c r="A52" s="150" t="str">
        <x:v>redox_or_electrophile_adduct</x:v>
      </x:c>
      <x:c r="B52" s="150" t="str">
        <x:v>succination</x:v>
      </x:c>
      <x:c r="C52" s="150" t="str">
        <x:v>S-(2-succinyl)cysteine; S-(2,3-dicarboxypropyl)cysteine</x:v>
      </x:c>
      <x:c r="D52" s="150" t="str">
        <x:v>fumarate Michael adduct on Cys</x:v>
      </x:c>
      <x:c r="E52" s="150" t="str">
        <x:v>endogenous nonenzymatic pathological/metabolic PTM</x:v>
      </x:c>
      <x:c r="F52" s="150" t="str">
        <x:v>no exact Succination row; Succinylation is not equivalent</x:v>
      </x:c>
      <x:c r="G52" s="150" t="str">
        <x:v>present exact systematic labels</x:v>
      </x:c>
      <x:c r="H52" s="151" t="str">
        <x:v>MERGE_EXISTING_EMPIRICAL</x:v>
      </x:c>
      <x:c r="I52" s="185" t="str">
        <x:v>https://doi.org/10.3389/fnagi.2020.00052</x:v>
      </x:c>
      <x:c r="J52" s="150" t="str">
        <x:v>Do not conflate cysteine succination with lysine succinylation.</x:v>
      </x:c>
    </x:row>
    <x:row r="53" ht="34.5" customHeight="1">
      <x:c r="A53" s="158" t="str">
        <x:v>covalent_cofactor_or_residue_conversion</x:v>
      </x:c>
      <x:c r="B53" s="158" t="str">
        <x:v>formylglycine</x:v>
      </x:c>
      <x:c r="C53" s="158" t="str">
        <x:v>C-alpha-formylglycine; 3-oxoalanine from Cys/Ser</x:v>
      </x:c>
      <x:c r="D53" s="158" t="str">
        <x:v>oxidative residue conversion forming sulfatase catalytic aldehyde</x:v>
      </x:c>
      <x:c r="E53" s="158" t="str">
        <x:v>endogenous enzymatic maturation</x:v>
      </x:c>
      <x:c r="F53" s="158" t="str">
        <x:v>broader Oxidation only</x:v>
      </x:c>
      <x:c r="G53" s="158" t="str">
        <x:v>present exact under 3-oxoalanine (Cys/Ser)</x:v>
      </x:c>
      <x:c r="H53" s="159" t="str">
        <x:v>MERGE_SYNONYMS_KEEP_EXISTING</x:v>
      </x:c>
      <x:c r="I53" s="184" t="str">
        <x:v>https://doi.org/10.1021/cb500897w</x:v>
      </x:c>
      <x:c r="J53" s="158" t="str">
        <x:v>Important synonym correction: ProteomeScout already contains the chemistry under 3-oxoalanine; N-formylglycine is a different N-terminal modification.</x:v>
      </x:c>
    </x:row>
    <x:row r="54" ht="34.5" customHeight="1">
      <x:c r="A54" s="150" t="str">
        <x:v>covalent_cofactor_or_residue_conversion</x:v>
      </x:c>
      <x:c r="B54" s="150" t="str">
        <x:v>protein-derived quinone crosslinks</x:v>
      </x:c>
      <x:c r="C54" s="150" t="str">
        <x:v>LTQ; TTQ; CTQ; lysine tyrosylquinone; tryptophan tryptophylquinone; cysteine tryptophylquinone</x:v>
      </x:c>
      <x:c r="D54" s="150" t="str">
        <x:v>oxidized intra-protein crosslink/cofactor</x:v>
      </x:c>
      <x:c r="E54" s="150" t="str">
        <x:v>endogenous autocatalytic or enzyme-assisted maturation</x:v>
      </x:c>
      <x:c r="F54" s="150" t="str">
        <x:v>absent exact</x:v>
      </x:c>
      <x:c r="G54" s="150" t="str">
        <x:v>topaquinone present; LTQ/TTQ/CTQ absent exact</x:v>
      </x:c>
      <x:c r="H54" s="151" t="str">
        <x:v>ADD_EXTENDED_SUBTYPES</x:v>
      </x:c>
      <x:c r="I54" s="185" t="str">
        <x:v>https://doi.org/10.1080/09168451.2019.1696178</x:v>
      </x:c>
      <x:c r="J54" s="150" t="str">
        <x:v>Keep quinone identity and both linked residues; do not duplicate topaquinone already observed.</x:v>
      </x:c>
    </x:row>
    <x:row r="55" ht="34.5" customHeight="1">
      <x:c r="A55" s="158" t="str">
        <x:v>covalent_cofactor_or_residue_conversion</x:v>
      </x:c>
      <x:c r="B55" s="158" t="str">
        <x:v>MIO cofactor</x:v>
      </x:c>
      <x:c r="C55" s="158" t="str">
        <x:v>4-methylideneimidazole-5-one</x:v>
      </x:c>
      <x:c r="D55" s="158" t="str">
        <x:v>autocatalytic Ala-Ser-Gly backbone cyclization/dehydration</x:v>
      </x:c>
      <x:c r="E55" s="158" t="str">
        <x:v>endogenous autocatalytic enzyme maturation</x:v>
      </x:c>
      <x:c r="F55" s="158" t="str">
        <x:v>absent exact</x:v>
      </x:c>
      <x:c r="G55" s="158" t="str">
        <x:v>absent exact</x:v>
      </x:c>
      <x:c r="H55" s="159" t="str">
        <x:v>ADD_EXTENDED</x:v>
      </x:c>
      <x:c r="I55" s="184" t="str">
        <x:v>https://doi.org/10.1016/j.cbpa.2009.06.013</x:v>
      </x:c>
      <x:c r="J55" s="158" t="str">
        <x:v>Backbone-derived cofactor cannot be represented as a simple single-residue side-chain addition.</x:v>
      </x:c>
    </x:row>
    <x:row r="56" ht="34.5" customHeight="1">
      <x:c r="A56" s="150" t="str">
        <x:v>covalent_cofactor_or_residue_conversion</x:v>
      </x:c>
      <x:c r="B56" s="150" t="str">
        <x:v>lysine carbamylation</x:v>
      </x:c>
      <x:c r="C56" s="150" t="str">
        <x:v>N6-carbamoyllysine; homocitrulline</x:v>
      </x:c>
      <x:c r="D56" s="150" t="str">
        <x:v>carbamoyl group on Lys epsilon amine</x:v>
      </x:c>
      <x:c r="E56" s="150" t="str">
        <x:v>mostly nonenzymatic endogenous/pathological; can be exogenous</x:v>
      </x:c>
      <x:c r="F56" s="150" t="str">
        <x:v>present exact: N-carbamoylation</x:v>
      </x:c>
      <x:c r="G56" s="150" t="str">
        <x:v>absent exact</x:v>
      </x:c>
      <x:c r="H56" s="151" t="str">
        <x:v>KEEP_EXISTING_DAMAGE_LAYER</x:v>
      </x:c>
      <x:c r="I56" s="185" t="str">
        <x:v>https://doi.org/10.1016/bs.acc.2017.12.001</x:v>
      </x:c>
      <x:c r="J56" s="150" t="str">
        <x:v>Do not confuse carbamoyllysine with catalytic N6-carboxylysine, which ProteomeScout does contain.</x:v>
      </x:c>
    </x:row>
    <x:row r="57" ht="34.5" customHeight="1">
      <x:c r="A57" s="158" t="str">
        <x:v>covalent_cofactor_or_residue_conversion</x:v>
      </x:c>
      <x:c r="B57" s="158" t="str">
        <x:v>covalent heme attachment</x:v>
      </x:c>
      <x:c r="C57" s="158" t="str">
        <x:v>heme-Cys; c-type cytochrome thioether; heme-bis-Cys</x:v>
      </x:c>
      <x:c r="D57" s="158" t="str">
        <x:v>thioether between heme vinyl group and Cys</x:v>
      </x:c>
      <x:c r="E57" s="158" t="str">
        <x:v>endogenous enzymatic cofactor maturation</x:v>
      </x:c>
      <x:c r="F57" s="158" t="str">
        <x:v>absent exact</x:v>
      </x:c>
      <x:c r="G57" s="158" t="str">
        <x:v>absent exact</x:v>
      </x:c>
      <x:c r="H57" s="159" t="str">
        <x:v>ADD_EXTENDED_COFACTOR_LAYER</x:v>
      </x:c>
      <x:c r="I57" s="184" t="str">
        <x:v>https://doi.org/10.1146/annurev-micro-050624-031631</x:v>
      </x:c>
      <x:c r="J57" s="158" t="str">
        <x:v>Keep cofactor attachment in a separate layer from regulatory PTMs.</x:v>
      </x:c>
    </x:row>
    <x:row r="58" ht="34.5" customHeight="1">
      <x:c r="A58" s="150" t="str">
        <x:v>non_ptm_coordinate_binding</x:v>
      </x:c>
      <x:c r="B58" s="150" t="str">
        <x:v>metal and Fe-S coordination</x:v>
      </x:c>
      <x:c r="C58" s="150" t="str">
        <x:v>Zn/Fe/Cu binding; iron-sulfur cluster ligation</x:v>
      </x:c>
      <x:c r="D58" s="150" t="str">
        <x:v>coordinate rather than covalent bonding</x:v>
      </x:c>
      <x:c r="E58" s="150" t="str">
        <x:v>natural cofactor binding</x:v>
      </x:c>
      <x:c r="F58" s="150" t="str">
        <x:v>not applicable</x:v>
      </x:c>
      <x:c r="G58" s="150" t="str">
        <x:v>not applicable</x:v>
      </x:c>
      <x:c r="H58" s="151" t="str">
        <x:v>EXCLUDE_FROM_COVALENT_PTM_LEDGER</x:v>
      </x:c>
      <x:c r="I58" s="185" t="str">
        <x:v>https://ftp.uniprot.org/pub/databases/uniprot/current_release/knowledgebase/complete/docs/ptmlist.txt</x:v>
      </x:c>
      <x:c r="J58" s="150" t="str">
        <x:v>May be modeled structurally, but is not a covalent PTM site family.</x:v>
      </x:c>
    </x:row>
    <x:row r="59" ht="34.5" customHeight="1">
      <x:c r="A59" s="158" t="str">
        <x:v>halogenation</x:v>
      </x:c>
      <x:c r="B59" s="158" t="str">
        <x:v>protein halogenation</x:v>
      </x:c>
      <x:c r="C59" s="158" t="str">
        <x:v>iodination; bromination; chlorination; fluorination</x:v>
      </x:c>
      <x:c r="D59" s="158" t="str">
        <x:v>covalent halogen substitution on aromatic residues</x:v>
      </x:c>
      <x:c r="E59" s="158" t="str">
        <x:v>iodination physiological; bromination/chlorination natural or oxidative damage; fluorination lacks credible endogenous protein evidence</x:v>
      </x:c>
      <x:c r="F59" s="158" t="str">
        <x:v>Iodination present; other exact atoms absent</x:v>
      </x:c>
      <x:c r="G59" s="158" t="str">
        <x:v>iodotyrosines/thyronines and bromotyrosine/bromotryptophan present; chlorination/fluorination absent</x:v>
      </x:c>
      <x:c r="H59" s="159" t="str">
        <x:v>ADD_HALOGEN_FIELD_EXCLUDE_FLUORINATION</x:v>
      </x:c>
      <x:c r="I59" s="184" t="str">
        <x:v>https://doi.org/10.1016/j.freeradbiomed.2024.04.230</x:v>
      </x:c>
      <x:c r="J59" s="158" t="str">
        <x:v>Use one family with halogen/residue/context fields. Bromotyrosine review DOI 10.1080/10715762.2019.1668560. Chlorination is a defensible extended addition; fluorination should remain excluded unless natural in-vivo evidence appears.</x:v>
      </x:c>
    </x:row>
    <x:row r="60" ht="34.5" customHeight="1">
      <x:c r="A60" s="150" t="str">
        <x:v>protein_lipidation</x:v>
      </x:c>
      <x:c r="B60" s="150" t="str">
        <x:v>Wnt O-palmitoleoylation</x:v>
      </x:c>
      <x:c r="C60" s="150" t="str">
        <x:v>O-palmitoleate on Wnt Ser</x:v>
      </x:c>
      <x:c r="D60" s="150" t="str">
        <x:v>ester-linked C16:1 fatty acid on Ser</x:v>
      </x:c>
      <x:c r="E60" s="150" t="str">
        <x:v>endogenous enzymatic PTM</x:v>
      </x:c>
      <x:c r="F60" s="150" t="str">
        <x:v>present exact: O-palmitoleoylation</x:v>
      </x:c>
      <x:c r="G60" s="150" t="str">
        <x:v>absent exact</x:v>
      </x:c>
      <x:c r="H60" s="151" t="str">
        <x:v>KEEP_EXISTING</x:v>
      </x:c>
      <x:c r="I60" s="185" t="str">
        <x:v>https://doi.org/10.1042/BST20220735</x:v>
      </x:c>
      <x:c r="J60" s="150" t="str">
        <x:v>Named dbPTM type missing from ProteomeScout snapshot.</x:v>
      </x:c>
    </x:row>
    <x:row r="61" ht="34.5" customHeight="1">
      <x:c r="A61" s="158" t="str">
        <x:v>protein_lipidation</x:v>
      </x:c>
      <x:c r="B61" s="158" t="str">
        <x:v>ghrelin O-octanoylation</x:v>
      </x:c>
      <x:c r="C61" s="158" t="str">
        <x:v>O-octanoyl ghrelin</x:v>
      </x:c>
      <x:c r="D61" s="158" t="str">
        <x:v>ester-linked C8 fatty acid on Ser</x:v>
      </x:c>
      <x:c r="E61" s="158" t="str">
        <x:v>endogenous enzymatic PTM</x:v>
      </x:c>
      <x:c r="F61" s="158" t="str">
        <x:v>present broader/exact: Octanoylation</x:v>
      </x:c>
      <x:c r="G61" s="158" t="str">
        <x:v>absent exact</x:v>
      </x:c>
      <x:c r="H61" s="159" t="str">
        <x:v>KEEP_EXISTING_ADD_LINKAGE_CONTEXT</x:v>
      </x:c>
      <x:c r="I61" s="184" t="str">
        <x:v>https://doi.org/10.1042/BST20180436</x:v>
      </x:c>
      <x:c r="J61" s="158" t="str">
        <x:v>Linkage and chain length matter for atom-graph modeling.</x:v>
      </x:c>
    </x:row>
    <x:row r="62" ht="34.5" customHeight="1">
      <x:c r="A62" s="150" t="str">
        <x:v>protein_lipidation</x:v>
      </x:c>
      <x:c r="B62" s="150" t="str">
        <x:v>Hedgehog cholesterylation</x:v>
      </x:c>
      <x:c r="C62" s="150" t="str">
        <x:v>cholesterol ester; cholesterol-modified Hedgehog</x:v>
      </x:c>
      <x:c r="D62" s="150" t="str">
        <x:v>ester linkage of cholesterol to new C terminus after self-cleavage</x:v>
      </x:c>
      <x:c r="E62" s="150" t="str">
        <x:v>endogenous autocatalytic maturation</x:v>
      </x:c>
      <x:c r="F62" s="150" t="str">
        <x:v>present: Cholesterol ester and Cholesterylation</x:v>
      </x:c>
      <x:c r="G62" s="150" t="str">
        <x:v>absent exact</x:v>
      </x:c>
      <x:c r="H62" s="151" t="str">
        <x:v>KEEP_EXISTING</x:v>
      </x:c>
      <x:c r="I62" s="185" t="str">
        <x:v>https://doi.org/10.1146/annurev-biochem-052521-040313</x:v>
      </x:c>
      <x:c r="J62" s="150" t="str">
        <x:v>Coupled to backbone cleavage; model product terminus as well as cholesterol.</x:v>
      </x:c>
    </x:row>
    <x:row r="63" ht="34.5" customHeight="1">
      <x:c r="A63" s="158" t="str">
        <x:v>protein_lipidation</x:v>
      </x:c>
      <x:c r="B63" s="158" t="str">
        <x:v>Hedgehog N-palmitoylation</x:v>
      </x:c>
      <x:c r="C63" s="158" t="str">
        <x:v>N-palmitoyl N-terminal Cys</x:v>
      </x:c>
      <x:c r="D63" s="158" t="str">
        <x:v>amide-linked palmitate at amino terminus</x:v>
      </x:c>
      <x:c r="E63" s="158" t="str">
        <x:v>endogenous enzymatic PTM</x:v>
      </x:c>
      <x:c r="F63" s="158" t="str">
        <x:v>present exact: N-palmitoylation</x:v>
      </x:c>
      <x:c r="G63" s="158" t="str">
        <x:v>generic Palmitoylation only</x:v>
      </x:c>
      <x:c r="H63" s="159" t="str">
        <x:v>KEEP_EXISTING_LINKAGE_AWARE</x:v>
      </x:c>
      <x:c r="I63" s="184" t="str">
        <x:v>https://doi.org/10.1098/rsob.200414</x:v>
      </x:c>
      <x:c r="J63" s="158" t="str">
        <x:v>Do not merge N-palmitoylation with reversible S-palmitoylation or O-palmitoylation.</x:v>
      </x:c>
    </x:row>
    <x:row r="64" ht="34.5" customHeight="1">
      <x:c r="A64" s="150" t="str">
        <x:v>protein_lipidation</x:v>
      </x:c>
      <x:c r="B64" s="150" t="str">
        <x:v>ATG8 phospholipidation</x:v>
      </x:c>
      <x:c r="C64" s="150" t="str">
        <x:v>LC3/ATG8-PE; LC3/ATG8-PS</x:v>
      </x:c>
      <x:c r="D64" s="150" t="str">
        <x:v>amide between ATG8 C-terminal Gly and phospholipid headgroup</x:v>
      </x:c>
      <x:c r="E64" s="150" t="str">
        <x:v>endogenous enzymatic conjugation</x:v>
      </x:c>
      <x:c r="F64" s="150" t="str">
        <x:v>PE exact via Phosphatidylethanolamine amidation; PS absent exact</x:v>
      </x:c>
      <x:c r="G64" s="150" t="str">
        <x:v>absent exact</x:v>
      </x:c>
      <x:c r="H64" s="151" t="str">
        <x:v>ADD_PS_CHILD_KEEP_PE</x:v>
      </x:c>
      <x:c r="I64" s="185" t="str">
        <x:v>https://pmc.ncbi.nlm.nih.gov/articles/PMC8122138/</x:v>
      </x:c>
      <x:c r="J64" s="150" t="str">
        <x:v>Represent lipid headgroup as a field; do not confuse with protein ATG8ylation.</x:v>
      </x:c>
    </x:row>
    <x:row r="65" ht="34.5" customHeight="1">
      <x:c r="A65" s="158" t="str">
        <x:v>protein_lipidation</x:v>
      </x:c>
      <x:c r="B65" s="158" t="str">
        <x:v>bacterial lipoprotein diacylglycerylation</x:v>
      </x:c>
      <x:c r="C65" s="158" t="str">
        <x:v>S-diacylglycerol; N-acyl-S-diacylglyceryl-Cys</x:v>
      </x:c>
      <x:c r="D65" s="158" t="str">
        <x:v>thioether-linked diacylglycerol plus optional N-acylation</x:v>
      </x:c>
      <x:c r="E65" s="158" t="str">
        <x:v>bacterial enzymatic maturation</x:v>
      </x:c>
      <x:c r="F65" s="158" t="str">
        <x:v>present exact: S-diacylglycerol</x:v>
      </x:c>
      <x:c r="G65" s="158" t="str">
        <x:v>absent exact</x:v>
      </x:c>
      <x:c r="H65" s="159" t="str">
        <x:v>KEEP_EXISTING</x:v>
      </x:c>
      <x:c r="I65" s="184" t="str">
        <x:v>https://doi.org/10.1016/j.tibs.2019.03.007</x:v>
      </x:c>
      <x:c r="J65" s="158" t="str">
        <x:v>Multi-step lipidation requires state fields rather than independent double counting.</x:v>
      </x:c>
    </x:row>
    <x:row r="66" ht="34.5" customHeight="1">
      <x:c r="A66" s="150" t="str">
        <x:v>protein_lipidation</x:v>
      </x:c>
      <x:c r="B66" s="150" t="str">
        <x:v>archaeal lipoprotein archaeol attachment</x:v>
      </x:c>
      <x:c r="C66" s="150" t="str">
        <x:v>S-archaeol; diphytanylglyceryl thioether</x:v>
      </x:c>
      <x:c r="D66" s="150" t="str">
        <x:v>thioether archaeol-class lipid attachment to Cys</x:v>
      </x:c>
      <x:c r="E66" s="150" t="str">
        <x:v>archaeal enzymatic maturation</x:v>
      </x:c>
      <x:c r="F66" s="150" t="str">
        <x:v>present exact: S-archaeol</x:v>
      </x:c>
      <x:c r="G66" s="150" t="str">
        <x:v>absent exact</x:v>
      </x:c>
      <x:c r="H66" s="151" t="str">
        <x:v>KEEP_EXISTING</x:v>
      </x:c>
      <x:c r="I66" s="185" t="str">
        <x:v>https://doi.org/10.1038/s41467-025-63625-6</x:v>
      </x:c>
      <x:c r="J66" s="150" t="str">
        <x:v>2025 work experimentally established archaeal lipoprotein lipidation machinery and diphytanylglyceryl thioether; map legacy S-archaeol terminology carefully.</x:v>
      </x:c>
    </x:row>
    <x:row r="67" ht="34.5" customHeight="1">
      <x:c r="A67" s="158" t="str">
        <x:v>glycosylation_edge</x:v>
      </x:c>
      <x:c r="B67" s="158" t="str">
        <x:v>C-mannosylation</x:v>
      </x:c>
      <x:c r="C67" s="158" t="str">
        <x:v>C-mannose on Trp</x:v>
      </x:c>
      <x:c r="D67" s="158" t="str">
        <x:v>C-C glycosidic bond to Trp indole</x:v>
      </x:c>
      <x:c r="E67" s="158" t="str">
        <x:v>endogenous enzymatic PTM</x:v>
      </x:c>
      <x:c r="F67" s="158" t="str">
        <x:v>broader C-linked_Glycosylation row</x:v>
      </x:c>
      <x:c r="G67" s="158" t="str">
        <x:v>broader C-Glycosylation label</x:v>
      </x:c>
      <x:c r="H67" s="159" t="str">
        <x:v>ADD_EXACT_CHILD</x:v>
      </x:c>
      <x:c r="I67" s="184" t="str">
        <x:v>https://doi.org/10.1038/s41589-022-01219-9</x:v>
      </x:c>
      <x:c r="J67" s="158" t="str">
        <x:v>Do not count umbrella and C-mannose child as independent top-level PTM families.</x:v>
      </x:c>
    </x:row>
    <x:row r="68" ht="34.5" customHeight="1">
      <x:c r="A68" s="150" t="str">
        <x:v>glycosylation_edge</x:v>
      </x:c>
      <x:c r="B68" s="150" t="str">
        <x:v>collagen hydroxylysine glycosylation</x:v>
      </x:c>
      <x:c r="C68" s="150" t="str">
        <x:v>Gal-Hyl; Glc-Gal-Hyl</x:v>
      </x:c>
      <x:c r="D68" s="150" t="str">
        <x:v>O-glycosidic linkage to hydroxylysine</x:v>
      </x:c>
      <x:c r="E68" s="150" t="str">
        <x:v>endogenous enzymatic extracellular-matrix maturation</x:v>
      </x:c>
      <x:c r="F68" s="150" t="str">
        <x:v>broader O-linked_Glycosylation row</x:v>
      </x:c>
      <x:c r="G68" s="150" t="str">
        <x:v>absent exact</x:v>
      </x:c>
      <x:c r="H68" s="151" t="str">
        <x:v>ADD_CORE_CHILD</x:v>
      </x:c>
      <x:c r="I68" s="185" t="str">
        <x:v>https://doi.org/10.1042/BST20200767</x:v>
      </x:c>
      <x:c r="J68" s="150" t="str">
        <x:v>Requires prior lysine hydroxylation; preserve sequential dependency.</x:v>
      </x:c>
    </x:row>
    <x:row r="69" ht="34.5" customHeight="1">
      <x:c r="A69" s="158" t="str">
        <x:v>glycosylation_edge</x:v>
      </x:c>
      <x:c r="B69" s="158" t="str">
        <x:v>S-GlcNAcylation</x:v>
      </x:c>
      <x:c r="C69" s="158" t="str">
        <x:v>S-GlcNAc; cysteine glycosylation</x:v>
      </x:c>
      <x:c r="D69" s="158" t="str">
        <x:v>S-glycosidic linkage to Cys</x:v>
      </x:c>
      <x:c r="E69" s="158" t="str">
        <x:v>natural in bacteriocins and reported in mammals; probe-induced artifact risk</x:v>
      </x:c>
      <x:c r="F69" s="158" t="str">
        <x:v>broader S-linked_Glycosylation row</x:v>
      </x:c>
      <x:c r="G69" s="158" t="str">
        <x:v>absent exact</x:v>
      </x:c>
      <x:c r="H69" s="159" t="str">
        <x:v>ADD_EXTENDED_WITH_ARTIFACT_FLAG</x:v>
      </x:c>
      <x:c r="I69" s="184" t="str">
        <x:v>https://doi.org/10.1074/mcp.M116.061549</x:v>
      </x:c>
      <x:c r="J69" s="158" t="str">
        <x:v>Per-O-acetylated sugar probes can create artificial S-glycosylation: DOI 10.1002/anie.201711710.</x:v>
      </x:c>
    </x:row>
    <x:row r="70" ht="34.5" customHeight="1">
      <x:c r="A70" s="150" t="str">
        <x:v>glycosylation_edge</x:v>
      </x:c>
      <x:c r="B70" s="150" t="str">
        <x:v>O-linked monosaccharide subfamilies</x:v>
      </x:c>
      <x:c r="C70" s="150" t="str">
        <x:v>O-fucose; O-glucose; O-mannose; O-xylose/proteoglycan linker</x:v>
      </x:c>
      <x:c r="D70" s="150" t="str">
        <x:v>O-glycosidic linkage to Ser/Thr or hydroxyresidue</x:v>
      </x:c>
      <x:c r="E70" s="150" t="str">
        <x:v>endogenous enzymatic PTMs</x:v>
      </x:c>
      <x:c r="F70" s="150" t="str">
        <x:v>broader O-linked_Glycosylation row</x:v>
      </x:c>
      <x:c r="G70" s="150" t="str">
        <x:v>O-GalNAc/O-GlcNAc exact; listed edge children absent exact</x:v>
      </x:c>
      <x:c r="H70" s="151" t="str">
        <x:v>ADD_CHILDREN_NOT_TOP_LEVEL_COUNTS</x:v>
      </x:c>
      <x:c r="I70" s="185" t="str">
        <x:v>https://doi.org/10.1016/j.jbc.2024.105677</x:v>
      </x:c>
      <x:c r="J70" s="150" t="str">
        <x:v>Maintain sugar identity and downstream glycan structure under one O-glycosylation hierarchy.</x:v>
      </x:c>
    </x:row>
    <x:row r="71" ht="34.5" customHeight="1">
      <x:c r="A71" s="158" t="str">
        <x:v>glycosylation_edge</x:v>
      </x:c>
      <x:c r="B71" s="158" t="str">
        <x:v>glycan-on-glycan extension</x:v>
      </x:c>
      <x:c r="C71" s="158" t="str">
        <x:v>ribitol-phosphate extension; O-mannose phosphorylation; glycan branching</x:v>
      </x:c>
      <x:c r="D71" s="158" t="str">
        <x:v>modification of an already attached glycan rather than direct residue bond</x:v>
      </x:c>
      <x:c r="E71" s="158" t="str">
        <x:v>endogenous enzymatic glycan maturation</x:v>
      </x:c>
      <x:c r="F71" s="158" t="str">
        <x:v>not resolved in named rows</x:v>
      </x:c>
      <x:c r="G71" s="158" t="str">
        <x:v>not resolved in labels</x:v>
      </x:c>
      <x:c r="H71" s="159" t="str">
        <x:v>MERGE_NESTED_GLYCAN_STRUCTURE</x:v>
      </x:c>
      <x:c r="I71" s="184" t="str">
        <x:v>https://doi.org/10.1016/j.jbc.2024.105677</x:v>
      </x:c>
      <x:c r="J71" s="158" t="str">
        <x:v>Do not inflate direct protein-site family counts with every downstream glycoform.</x:v>
      </x:c>
    </x:row>
    <x:row r="72" ht="34.5" customHeight="1">
      <x:c r="A72" s="150" t="str">
        <x:v>RiPP_or_backbone_maturation</x:v>
      </x:c>
      <x:c r="B72" s="150" t="str">
        <x:v>lanthionine crosslinking</x:v>
      </x:c>
      <x:c r="C72" s="150" t="str">
        <x:v>lanthionine; methyllanthionine</x:v>
      </x:c>
      <x:c r="D72" s="150" t="str">
        <x:v>thioether crosslink between Cys and dehydrated Ser/Thr</x:v>
      </x:c>
      <x:c r="E72" s="150" t="str">
        <x:v>natural enzymatic RiPP maturation</x:v>
      </x:c>
      <x:c r="F72" s="150" t="str">
        <x:v>absent exact</x:v>
      </x:c>
      <x:c r="G72" s="150" t="str">
        <x:v>absent exact</x:v>
      </x:c>
      <x:c r="H72" s="151" t="str">
        <x:v>ADD_EXTENDED_RIPP_LAYER</x:v>
      </x:c>
      <x:c r="I72" s="185" t="str">
        <x:v>https://doi.org/10.1021/acs.chemrev.6b00591</x:v>
      </x:c>
      <x:c r="J72" s="150" t="str">
        <x:v>Crosslink requires two residue endpoints and stereochemistry.</x:v>
      </x:c>
    </x:row>
    <x:row r="73" ht="34.5" customHeight="1">
      <x:c r="A73" s="158" t="str">
        <x:v>RiPP_or_backbone_maturation</x:v>
      </x:c>
      <x:c r="B73" s="158" t="str">
        <x:v>dehydroamino-acid formation</x:v>
      </x:c>
      <x:c r="C73" s="158" t="str">
        <x:v>dehydroalanine; dehydrobutyrine; Dha; Dhb</x:v>
      </x:c>
      <x:c r="D73" s="158" t="str">
        <x:v>Ser/Thr dehydration or other residue conversion</x:v>
      </x:c>
      <x:c r="E73" s="158" t="str">
        <x:v>natural enzymatic maturation and possible sample damage</x:v>
      </x:c>
      <x:c r="F73" s="158" t="str">
        <x:v>absent exact</x:v>
      </x:c>
      <x:c r="G73" s="158" t="str">
        <x:v>dehydroalanine present; dehydrobutyrine absent exact</x:v>
      </x:c>
      <x:c r="H73" s="159" t="str">
        <x:v>MERGE_EXISTING_ADD_DHB_CHILD</x:v>
      </x:c>
      <x:c r="I73" s="184" t="str">
        <x:v>https://doi.org/10.1021/acs.chemrev.6b00591</x:v>
      </x:c>
      <x:c r="J73" s="158" t="str">
        <x:v>Keep precursor residue and natural/artifact context.</x:v>
      </x:c>
    </x:row>
    <x:row r="74" ht="34.5" customHeight="1">
      <x:c r="A74" s="150" t="str">
        <x:v>RiPP_or_backbone_maturation</x:v>
      </x:c>
      <x:c r="B74" s="150" t="str">
        <x:v>lysinoalanine/histidinoalanine crosslinks</x:v>
      </x:c>
      <x:c r="C74" s="150" t="str">
        <x:v>Lal; Hal</x:v>
      </x:c>
      <x:c r="D74" s="150" t="str">
        <x:v>nucleophilic residue addition to dehydroalanine</x:v>
      </x:c>
      <x:c r="E74" s="150" t="str">
        <x:v>natural in some peptides but also heat/alkali processing artifact</x:v>
      </x:c>
      <x:c r="F74" s="150" t="str">
        <x:v>absent exact</x:v>
      </x:c>
      <x:c r="G74" s="150" t="str">
        <x:v>absent exact</x:v>
      </x:c>
      <x:c r="H74" s="151" t="str">
        <x:v>WATCH_CONTEXT_DEPENDENT</x:v>
      </x:c>
      <x:c r="I74" s="185" t="str">
        <x:v>https://doi.org/10.1021/acs.chemrev.6b00591</x:v>
      </x:c>
      <x:c r="J74" s="150" t="str">
        <x:v>Include only with evidence/context flag; common artifact route makes blanket biological claims unsafe.</x:v>
      </x:c>
    </x:row>
    <x:row r="75" ht="34.5" customHeight="1">
      <x:c r="A75" s="158" t="str">
        <x:v>RiPP_or_backbone_maturation</x:v>
      </x:c>
      <x:c r="B75" s="158" t="str">
        <x:v>D-amino-acid epimerization</x:v>
      </x:c>
      <x:c r="C75" s="158" t="str">
        <x:v>D-Ala; D-Val; D-Leu and related peptide epimers</x:v>
      </x:c>
      <x:c r="D75" s="158" t="str">
        <x:v>stereochemical residue conversion without mass change</x:v>
      </x:c>
      <x:c r="E75" s="158" t="str">
        <x:v>natural enzymatic or radical-SAM peptide maturation</x:v>
      </x:c>
      <x:c r="F75" s="158" t="str">
        <x:v>absent exact</x:v>
      </x:c>
      <x:c r="G75" s="158" t="str">
        <x:v>absent exact</x:v>
      </x:c>
      <x:c r="H75" s="159" t="str">
        <x:v>ADD_EXTENDED_RIPP_LAYER</x:v>
      </x:c>
      <x:c r="I75" s="184" t="str">
        <x:v>https://doi.org/10.1021/acs.chemrev.6b00591</x:v>
      </x:c>
      <x:c r="J75" s="158" t="str">
        <x:v>Mass-neutral PTM requires stereochemical annotation and is easily missed by ordinary site tables.</x:v>
      </x:c>
    </x:row>
    <x:row r="76" ht="34.5" customHeight="1">
      <x:c r="A76" s="154" t="str">
        <x:v>artifact_or_xenobiotic</x:v>
      </x:c>
      <x:c r="B76" s="154" t="str">
        <x:v>diethylphosphorylation</x:v>
      </x:c>
      <x:c r="C76" s="154" t="str">
        <x:v>organophosphate adduct</x:v>
      </x:c>
      <x:c r="D76" s="154" t="str">
        <x:v>covalent phosphylation by organophosphate</x:v>
      </x:c>
      <x:c r="E76" s="154" t="str">
        <x:v>xenobiotic exposure; not endogenous PTM</x:v>
      </x:c>
      <x:c r="F76" s="154" t="str">
        <x:v>absent exact</x:v>
      </x:c>
      <x:c r="G76" s="154" t="str">
        <x:v>absent exact</x:v>
      </x:c>
      <x:c r="H76" s="155" t="str">
        <x:v>EXCLUDE_CORE_KEEP_EXPOSURE_LAYER</x:v>
      </x:c>
      <x:c r="I76" s="186" t="str">
        <x:v>https://doi.org/10.1289/ehp.0900824</x:v>
      </x:c>
      <x:c r="J76" s="154" t="str">
        <x:v>CPLM lists this as a modification, but a biological core catalog should label it as toxicant exposure.</x:v>
      </x:c>
    </x:row>
  </x:sheetData>
  <x:conditionalFormatting sqref="H2:H76">
    <x:cfRule type="containsText" dxfId="18" priority="1" operator="containsText" text="ADD"/>
    <x:cfRule type="containsText" dxfId="19" priority="2" operator="containsText" text="KEEP"/>
    <x:cfRule type="containsText" dxfId="20" priority="3" operator="containsText" text="MERGE"/>
    <x:cfRule type="containsText" dxfId="21" priority="4" operator="containsText" text="WATCH"/>
    <x:cfRule type="containsText" dxfId="22" priority="5" operator="containsText" text="EXCLUDE"/>
  </x:conditionalFormatting>
  <x:hyperlinks>
    <x:hyperlink ref="I2" r:id="rIdHyperlink1"/>
    <x:hyperlink ref="I3" r:id="rIdHyperlink2"/>
    <x:hyperlink ref="I4" r:id="rIdHyperlink3"/>
    <x:hyperlink ref="I5" r:id="rIdHyperlink4"/>
    <x:hyperlink ref="I6" r:id="rIdHyperlink5"/>
    <x:hyperlink ref="I7" r:id="rIdHyperlink6"/>
    <x:hyperlink ref="I8" r:id="rIdHyperlink7"/>
    <x:hyperlink ref="I9" r:id="rIdHyperlink8"/>
    <x:hyperlink ref="I10" r:id="rIdHyperlink9"/>
    <x:hyperlink ref="I11" r:id="rIdHyperlink10"/>
    <x:hyperlink ref="I12" r:id="rIdHyperlink11"/>
    <x:hyperlink ref="I13" r:id="rIdHyperlink12"/>
    <x:hyperlink ref="I14" r:id="rIdHyperlink13"/>
    <x:hyperlink ref="I15" r:id="rIdHyperlink14"/>
    <x:hyperlink ref="I16" r:id="rIdHyperlink15"/>
    <x:hyperlink ref="I17" r:id="rIdHyperlink16"/>
    <x:hyperlink ref="I18" r:id="rIdHyperlink17"/>
    <x:hyperlink ref="I19" r:id="rIdHyperlink18"/>
    <x:hyperlink ref="I20" r:id="rIdHyperlink19"/>
    <x:hyperlink ref="I21" r:id="rIdHyperlink20"/>
    <x:hyperlink ref="I22" r:id="rIdHyperlink21"/>
    <x:hyperlink ref="I23" r:id="rIdHyperlink22"/>
    <x:hyperlink ref="I24" r:id="rIdHyperlink23"/>
    <x:hyperlink ref="I25" r:id="rIdHyperlink24"/>
    <x:hyperlink ref="I26" r:id="rIdHyperlink25"/>
    <x:hyperlink ref="I27" r:id="rIdHyperlink26"/>
    <x:hyperlink ref="I28" r:id="rIdHyperlink27"/>
    <x:hyperlink ref="I29" r:id="rIdHyperlink28"/>
    <x:hyperlink ref="I30" r:id="rIdHyperlink29"/>
    <x:hyperlink ref="I31" r:id="rIdHyperlink30"/>
    <x:hyperlink ref="I32" r:id="rIdHyperlink31"/>
    <x:hyperlink ref="I33" r:id="rIdHyperlink32"/>
    <x:hyperlink ref="I34" r:id="rIdHyperlink33"/>
    <x:hyperlink ref="I35" r:id="rIdHyperlink34"/>
    <x:hyperlink ref="I36" r:id="rIdHyperlink35"/>
    <x:hyperlink ref="I37" r:id="rIdHyperlink36"/>
    <x:hyperlink ref="I38" r:id="rIdHyperlink37"/>
    <x:hyperlink ref="I39" r:id="rIdHyperlink38"/>
    <x:hyperlink ref="I40" r:id="rIdHyperlink39"/>
    <x:hyperlink ref="I41" r:id="rIdHyperlink40"/>
    <x:hyperlink ref="I42" r:id="rIdHyperlink41"/>
    <x:hyperlink ref="I43" r:id="rIdHyperlink42"/>
    <x:hyperlink ref="I44" r:id="rIdHyperlink43"/>
    <x:hyperlink ref="I45" r:id="rIdHyperlink44"/>
    <x:hyperlink ref="I46" r:id="rIdHyperlink45"/>
    <x:hyperlink ref="I47" r:id="rIdHyperlink46"/>
    <x:hyperlink ref="I48" r:id="rIdHyperlink47"/>
    <x:hyperlink ref="I49" r:id="rIdHyperlink48"/>
    <x:hyperlink ref="I50" r:id="rIdHyperlink49"/>
    <x:hyperlink ref="I51" r:id="rIdHyperlink50"/>
    <x:hyperlink ref="I52" r:id="rIdHyperlink51"/>
    <x:hyperlink ref="I53" r:id="rIdHyperlink52"/>
    <x:hyperlink ref="I54" r:id="rIdHyperlink53"/>
    <x:hyperlink ref="I55" r:id="rIdHyperlink54"/>
    <x:hyperlink ref="I56" r:id="rIdHyperlink55"/>
    <x:hyperlink ref="I57" r:id="rIdHyperlink56"/>
    <x:hyperlink ref="I58" r:id="rIdHyperlink57"/>
    <x:hyperlink ref="I59" r:id="rIdHyperlink58"/>
    <x:hyperlink ref="I60" r:id="rIdHyperlink59"/>
    <x:hyperlink ref="I61" r:id="rIdHyperlink60"/>
    <x:hyperlink ref="I62" r:id="rIdHyperlink61"/>
    <x:hyperlink ref="I63" r:id="rIdHyperlink62"/>
    <x:hyperlink ref="I64" r:id="rIdHyperlink63"/>
    <x:hyperlink ref="I65" r:id="rIdHyperlink64"/>
    <x:hyperlink ref="I66" r:id="rIdHyperlink65"/>
    <x:hyperlink ref="I67" r:id="rIdHyperlink66"/>
    <x:hyperlink ref="I68" r:id="rIdHyperlink67"/>
    <x:hyperlink ref="I69" r:id="rIdHyperlink68"/>
    <x:hyperlink ref="I70" r:id="rIdHyperlink69"/>
    <x:hyperlink ref="I71" r:id="rIdHyperlink70"/>
    <x:hyperlink ref="I72" r:id="rIdHyperlink71"/>
    <x:hyperlink ref="I73" r:id="rIdHyperlink72"/>
    <x:hyperlink ref="I74" r:id="rIdHyperlink73"/>
    <x:hyperlink ref="I75" r:id="rIdHyperlink74"/>
    <x:hyperlink ref="I76" r:id="rIdHyperlink75"/>
  </x:hyperlinks>
  <x:pageMargins left="0.7" right="0.7" top="0.75" bottom="0.75" header="0.3" footer="0.3"/>
  <x:tableParts count="1">
    <x:tablePart xmlns:r="http://schemas.openxmlformats.org/officeDocument/2006/relationships" r:id="R2e0610efc46044f5"/>
  </x:tableParts>
</x:worksheet>
</file>

<file path=xl/worksheets/sheet8.xml><?xml version="1.0" encoding="utf-8"?>
<x:worksheet xmlns:x="http://schemas.openxmlformats.org/spreadsheetml/2006/main" xmlns:r="http://schemas.openxmlformats.org/officeDocument/2006/relationships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9.779999732971191" hidden="0" customWidth="1"/>
    <x:col min="2" max="2" width="21.110000610351562" hidden="0" customWidth="1"/>
    <x:col min="3" max="3" width="10.5600004196167" hidden="0" customWidth="1"/>
    <x:col min="4" max="4" width="27.780000686645508" hidden="0" customWidth="1"/>
    <x:col min="5" max="5" width="26.670000076293945" hidden="0" customWidth="1"/>
    <x:col min="6" max="6" width="18.889999389648438" hidden="0" customWidth="1"/>
    <x:col min="7" max="7" width="35.560001373291016" hidden="0" customWidth="1"/>
    <x:col min="8" max="8" width="10.5600004196167" hidden="0" customWidth="1"/>
    <x:col min="9" max="9" width="25.559999465942383" hidden="0" customWidth="1"/>
    <x:col min="10" max="10" width="15" hidden="0" customWidth="1"/>
    <x:col min="11" max="11" width="27.780000686645508" hidden="0" customWidth="1"/>
    <x:col min="12" max="12" width="34.439998626708984" hidden="0" customWidth="1"/>
    <x:col min="13" max="13" width="32.220001220703125" hidden="0" customWidth="1"/>
    <x:col min="14" max="14" width="35.560001373291016" hidden="0" customWidth="1"/>
  </x:cols>
  <x:sheetData>
    <x:row r="1" ht="33" customHeight="1">
      <x:c r="A1" s="135" t="str">
        <x:v>Legacy ID</x:v>
      </x:c>
      <x:c r="B1" s="135" t="str">
        <x:v>Legacy family</x:v>
      </x:c>
      <x:c r="C1" s="135" t="str">
        <x:v>Final family ID</x:v>
      </x:c>
      <x:c r="D1" s="135" t="str">
        <x:v>Scope / residue</x:v>
      </x:c>
      <x:c r="E1" s="135" t="str">
        <x:v>Best current resource</x:v>
      </x:c>
      <x:c r="F1" s="135" t="str">
        <x:v>Resource status</x:v>
      </x:c>
      <x:c r="G1" s="135" t="str">
        <x:v>Status definition</x:v>
      </x:c>
      <x:c r="H1" s="135" t="str">
        <x:v>Count</x:v>
      </x:c>
      <x:c r="I1" s="135" t="str">
        <x:v>Count unit</x:v>
      </x:c>
      <x:c r="J1" s="135" t="str">
        <x:v>Count snapshot</x:v>
      </x:c>
      <x:c r="K1" s="135" t="str">
        <x:v>Coverage decision</x:v>
      </x:c>
      <x:c r="L1" s="135" t="str">
        <x:v>Other evidence</x:v>
      </x:c>
      <x:c r="M1" s="135" t="str">
        <x:v>Source URL</x:v>
      </x:c>
      <x:c r="N1" s="135" t="str">
        <x:v>Notes</x:v>
      </x:c>
    </x:row>
    <x:row r="2" ht="36" customHeight="1">
      <x:c r="A2" s="178" t="str">
        <x:v>PTMF005</x:v>
      </x:c>
      <x:c r="B2" s="146" t="str">
        <x:v>D-glucuronoylation</x:v>
      </x:c>
      <x:c r="C2" s="178" t="str">
        <x:v>ADJ042</x:v>
      </x:c>
      <x:c r="D2" s="146" t="str">
        <x:v>N-D-glucuronoyl glycine / glycan child state</x:v>
      </x:c>
      <x:c r="E2" s="146" t="str">
        <x:v>dbPTM experimental download</x:v>
      </x:c>
      <x:c r="F2" s="147" t="str">
        <x:v>GENERAL_ONLY</x:v>
      </x:c>
      <x:c r="G2" s="146" t="str">
        <x:v>Family evidence is present in a current general PTM integrator; no dedicated family or narrow-class site resource was found.</x:v>
      </x:c>
      <x:c r="H2" s="167" t="n">
        <x:v>1</x:v>
      </x:c>
      <x:c r="I2" s="146" t="str">
        <x:v>experimental site</x:v>
      </x:c>
      <x:c r="J2" s="147" t="str">
        <x:v>live table accessed 2026-08-14</x:v>
      </x:c>
      <x:c r="K2" s="146" t="str">
        <x:v>NO_DEDICATED_SITE_DB_GENERAL_INTEGRATOR_ONLY</x:v>
      </x:c>
      <x:c r="L2" s="146" t="str">
        <x:v>The final taxonomy merges this chemistry into Protein glycosylation rather than retaining a headline family.</x:v>
      </x:c>
      <x:c r="M2" s="183" t="str">
        <x:v>https://biomics.lab.nycu.edu.tw/dbPTM/download.php</x:v>
      </x:c>
      <x:c r="N2" s="146" t="str">
        <x:v>The dbPTM count is a mapped experimental site, not a dedicated-database total.</x:v>
      </x:c>
    </x:row>
    <x:row r="3" ht="36" customHeight="1">
      <x:c r="A3" s="181" t="str">
        <x:v>PTMF015</x:v>
      </x:c>
      <x:c r="B3" s="158" t="str">
        <x:v>Isobutyrylation</x:v>
      </x:c>
      <x:c r="C3" s="181" t="str">
        <x:v>ADJ010</x:v>
      </x:c>
      <x:c r="D3" s="158" t="str">
        <x:v>lysine isobutyrylation subtype</x:v>
      </x:c>
      <x:c r="E3" s="158" t="str">
        <x:v>none dedicated found</x:v>
      </x:c>
      <x:c r="F3" s="159" t="str">
        <x:v>NO_DEDICATED_RESOURCE_FOUND</x:v>
      </x:c>
      <x:c r="G3" s="158" t="str">
        <x:v>No family-specific or narrow-class experimental residue-site database or atlas was identified after primary-source search.</x:v>
      </x:c>
      <x:c r="H3" s="170" t="str"/>
      <x:c r="I3" s="158" t="str"/>
      <x:c r="J3" s="159" t="str">
        <x:v>2026-08-14 audit</x:v>
      </x:c>
      <x:c r="K3" s="158" t="str">
        <x:v>NO_DEDICATED_ISOBUTYRYL_SUBTYPE_RESOURCE</x:v>
      </x:c>
      <x:c r="L3" s="158" t="str">
        <x:v>A discovery study identified H3K18 and H3K23 and explicitly stated that broader site mapping remained future work; the adjudicated family merges n-butyrylation and isobutyrylation, and CPLM covers the n-butyrylation child.</x:v>
      </x:c>
      <x:c r="M3" s="184" t="str">
        <x:v>https://pmc.ncbi.nlm.nih.gov/articles/PMC7797053/</x:v>
      </x:c>
      <x:c r="N3" s="158" t="str">
        <x:v>Do not interpret this as absence of biological evidence or as absence of coverage for the merged butyryl/isobutyryl family.</x:v>
      </x:c>
    </x:row>
    <x:row r="4" ht="36" customHeight="1">
      <x:c r="A4" s="179" t="str">
        <x:v>PTMF016</x:v>
      </x:c>
      <x:c r="B4" s="150" t="str">
        <x:v>Methacrylation</x:v>
      </x:c>
      <x:c r="C4" s="179" t="str">
        <x:v>ADJ020</x:v>
      </x:c>
      <x:c r="D4" s="150" t="str">
        <x:v>lysine methacrylation</x:v>
      </x:c>
      <x:c r="E4" s="150" t="str">
        <x:v>ProteomeXchange PXD051167</x:v>
      </x:c>
      <x:c r="F4" s="151" t="str">
        <x:v>SITE_DATASET</x:v>
      </x:c>
      <x:c r="G4" s="150" t="str">
        <x:v>A family-specific experimental study dataset is public, but no maintained curated database or aggregate site atlas was found.</x:v>
      </x:c>
      <x:c r="H4" s="168" t="str"/>
      <x:c r="I4" s="150" t="str">
        <x:v>no clean aggregate site count for the deposited study</x:v>
      </x:c>
      <x:c r="J4" s="151" t="str">
        <x:v>2024 announcement</x:v>
      </x:c>
      <x:c r="K4" s="150" t="str">
        <x:v>FAMILY_SPECIFIC_STUDY_DATASET_NO_MAINTAINED_DB</x:v>
      </x:c>
      <x:c r="L4" s="150" t="str">
        <x:v>The dataset description notes that 27 histone Kmea sites had previously been identified and reports non-histone CypA work, but it does not provide a clean aggregate total for the deposited study.</x:v>
      </x:c>
      <x:c r="M4" s="185" t="str">
        <x:v>https://proteomecentral.proteomexchange.org/cgi/GetDataset?ID=PXD051167</x:v>
      </x:c>
      <x:c r="N4" s="150" t="str">
        <x:v>Do not reuse the cited 27 prior histone sites as the total of PXD051167.</x:v>
      </x:c>
    </x:row>
    <x:row r="5" ht="36" customHeight="1">
      <x:c r="A5" s="181" t="str">
        <x:v>PTMF020</x:v>
      </x:c>
      <x:c r="B5" s="158" t="str">
        <x:v>Acetoacetylation</x:v>
      </x:c>
      <x:c r="C5" s="181" t="str">
        <x:v>ADJ005</x:v>
      </x:c>
      <x:c r="D5" s="158" t="str">
        <x:v>human lysine acetoacetylation</x:v>
      </x:c>
      <x:c r="E5" s="158" t="str">
        <x:v>2026 eLife family-specific proteome-scale primary study</x:v>
      </x:c>
      <x:c r="F5" s="159" t="str">
        <x:v>SITE_DATASET</x:v>
      </x:c>
      <x:c r="G5" s="158" t="str">
        <x:v>A family-specific experimental site dataset is published, but there is no maintained database interface or ongoing independent curation.</x:v>
      </x:c>
      <x:c r="H5" s="170" t="n">
        <x:v>139</x:v>
      </x:c>
      <x:c r="I5" s="158" t="str">
        <x:v>unique Kacac sites across 85 human proteins</x:v>
      </x:c>
      <x:c r="J5" s="159" t="str">
        <x:v>2026 eLife version of record</x:v>
      </x:c>
      <x:c r="K5" s="158" t="str">
        <x:v>SITE_DATASET_ONLY_NO_DATABASE</x:v>
      </x:c>
      <x:c r="L5" s="158" t="str">
        <x:v>The 2026 study reports 139 unique lysine acetoacetylation sites across 85 proteins.</x:v>
      </x:c>
      <x:c r="M5" s="184" t="str">
        <x:v>https://doi.org/10.7554/eLife.104123 | https://pmc.ncbi.nlm.nih.gov/articles/PMC13175576/</x:v>
      </x:c>
      <x:c r="N5" s="158" t="str">
        <x:v>This supersedes the earlier 33-site histone-restricted subset for the family-level evidence count.</x:v>
      </x:c>
    </x:row>
    <x:row r="6" ht="36" customHeight="1">
      <x:c r="A6" s="179" t="str">
        <x:v>PTMF021</x:v>
      </x:c>
      <x:c r="B6" s="150" t="str">
        <x:v>Acetyl-methylation</x:v>
      </x:c>
      <x:c r="C6" s="179" t="str">
        <x:v>ADJ006</x:v>
      </x:c>
      <x:c r="D6" s="150" t="str">
        <x:v>N-epsilon-acetyl-N-epsilon-methyllysine</x:v>
      </x:c>
      <x:c r="E6" s="150" t="str">
        <x:v>ProteomeScout current TSV</x:v>
      </x:c>
      <x:c r="F6" s="151" t="str">
        <x:v>GENERAL_ONLY</x:v>
      </x:c>
      <x:c r="G6" s="150" t="str">
        <x:v>Family evidence is present in a current general PTM integrator; no dedicated family or narrow-class site resource was found.</x:v>
      </x:c>
      <x:c r="H6" s="168" t="n">
        <x:v>12</x:v>
      </x:c>
      <x:c r="I6" s="150" t="str">
        <x:v>annotation records labeled N6-acetyl-N6-methyllysine</x:v>
      </x:c>
      <x:c r="J6" s="151" t="str">
        <x:v>2026-06-02 TSV</x:v>
      </x:c>
      <x:c r="K6" s="150" t="str">
        <x:v>NO_DEDICATED_SITE_DB_GENERAL_INTEGRATOR_ONLY</x:v>
      </x:c>
      <x:c r="L6" s="150" t="str">
        <x:v>The primary discovery study independently validates H4K5acme and H4K12acme and deposits supporting MS data under MSV000087982.</x:v>
      </x:c>
      <x:c r="M6" s="185" t="str">
        <x:v>https://proteomescout.research.virginia.edu/downloads | https://pmc.ncbi.nlm.nih.gov/articles/PMC10845139/</x:v>
      </x:c>
      <x:c r="N6" s="150" t="str">
        <x:v>ProteomeScout records are annotations across species and are not guaranteed to be unique accession-position sites.</x:v>
      </x:c>
    </x:row>
    <x:row r="7" ht="36" customHeight="1">
      <x:c r="A7" s="181" t="str">
        <x:v>PTMF022</x:v>
      </x:c>
      <x:c r="B7" s="158" t="str">
        <x:v>Isonicotinylation</x:v>
      </x:c>
      <x:c r="C7" s="181" t="str">
        <x:v>ADJ014</x:v>
      </x:c>
      <x:c r="D7" s="158" t="str">
        <x:v>human lysine isonicotinylation</x:v>
      </x:c>
      <x:c r="E7" s="158" t="str">
        <x:v>ProteomeXchange PXD050143</x:v>
      </x:c>
      <x:c r="F7" s="159" t="str">
        <x:v>SITE_DATASET</x:v>
      </x:c>
      <x:c r="G7" s="158" t="str">
        <x:v>A family-specific experimental proteomics site atlas is public, but no maintained curated database interface was found.</x:v>
      </x:c>
      <x:c r="H7" s="170" t="n">
        <x:v>11442</x:v>
      </x:c>
      <x:c r="I7" s="158" t="str">
        <x:v>reported isonicotinylation sites on 2,792 human proteins</x:v>
      </x:c>
      <x:c r="J7" s="159" t="str">
        <x:v>2024-10-22 dataset revision</x:v>
      </x:c>
      <x:c r="K7" s="158" t="str">
        <x:v>DEDICATED_SITE_DATASET_NO_MAINTAINED_DB</x:v>
      </x:c>
      <x:c r="L7" s="158" t="str">
        <x:v>ProteomeCentral labels this a peer-reviewed original dataset, although the linked publication was still pending in the dataset record.</x:v>
      </x:c>
      <x:c r="M7" s="184" t="str">
        <x:v>https://proteomecentral.proteomexchange.org/cgi/GetDataset?ID=PXD050143</x:v>
      </x:c>
      <x:c r="N7" s="158" t="str">
        <x:v>The repository record says the dataset is unsupported by the repository; treat the submitter-reported count as dataset evidence, not independently curated database coverage.</x:v>
      </x:c>
    </x:row>
    <x:row r="8" ht="36" customHeight="1">
      <x:c r="A8" s="179" t="str">
        <x:v>PTMF023</x:v>
      </x:c>
      <x:c r="B8" s="150" t="str">
        <x:v>Itaconylation</x:v>
      </x:c>
      <x:c r="C8" s="179" t="str">
        <x:v>ADJ015</x:v>
      </x:c>
      <x:c r="D8" s="150" t="str">
        <x:v>lysine itaconylation</x:v>
      </x:c>
      <x:c r="E8" s="150" t="str">
        <x:v>Primary itaconylation proteome dataset</x:v>
      </x:c>
      <x:c r="F8" s="151" t="str">
        <x:v>SITE_DATASET</x:v>
      </x:c>
      <x:c r="G8" s="150" t="str">
        <x:v>A family-specific experimental site dataset is published, but no maintained database interface or ongoing independent curation was found.</x:v>
      </x:c>
      <x:c r="H8" s="168" t="n">
        <x:v>279</x:v>
      </x:c>
      <x:c r="I8" s="150" t="str">
        <x:v>sites identified in at least two of three itaconate-treated samples</x:v>
      </x:c>
      <x:c r="J8" s="151" t="str">
        <x:v>2023 publication</x:v>
      </x:c>
      <x:c r="K8" s="150" t="str">
        <x:v>DEDICATED_SITE_DATASET_NO_MAINTAINED_DB</x:v>
      </x:c>
      <x:c r="L8" s="150" t="str">
        <x:v>The study also reanalyzed two public succinylome datasets and found additional itaconylation, but no deduplicated cross-study atlas total is reported.</x:v>
      </x:c>
      <x:c r="M8" s="185" t="str">
        <x:v>https://pubs.acs.org/doi/10.1021/jacs.3c02332</x:v>
      </x:c>
      <x:c r="N8" s="150" t="str">
        <x:v>Do not add treated-sample and public-dataset counts without site-level deduplication.</x:v>
      </x:c>
    </x:row>
    <x:row r="9" ht="36" customHeight="1">
      <x:c r="A9" s="181" t="str">
        <x:v>PTMF025</x:v>
      </x:c>
      <x:c r="B9" s="158" t="str">
        <x:v>Amidation</x:v>
      </x:c>
      <x:c r="C9" s="181" t="str">
        <x:v>ADJ024</x:v>
      </x:c>
      <x:c r="D9" s="158" t="str">
        <x:v>C-terminal amidation in antimicrobial peptides; broader protein/peptide amidation</x:v>
      </x:c>
      <x:c r="E9" s="158" t="str">
        <x:v>APD6 antimicrobial peptide database</x:v>
      </x:c>
      <x:c r="F9" s="159" t="str">
        <x:v>ACTIVE_MAINTAINED_NARROW_PARTIAL</x:v>
      </x:c>
      <x:c r="G9" s="158" t="str">
        <x:v>A current maintained narrow biological-class database supports a substantial subset, but it is not a proteome-wide amidation site database.</x:v>
      </x:c>
      <x:c r="H9" s="170" t="n">
        <x:v>675</x:v>
      </x:c>
      <x:c r="I9" s="158" t="str">
        <x:v>natural AMP entries carrying C-terminal amidation</x:v>
      </x:c>
      <x:c r="J9" s="159" t="str">
        <x:v>2025-03-27 table snapshot</x:v>
      </x:c>
      <x:c r="K9" s="158" t="str">
        <x:v>CURRENT_NARROW_PEPTIDE_RESOURCE_PARTIAL_NOT_PROTEOME_WIDE</x:v>
      </x:c>
      <x:c r="L9" s="158" t="str">
        <x:v>APD6 reports 1,279 total amidated AMP entries including synthetic records; dbPTM separately reports 3,316 experimental amidation sites in its general integrator.</x:v>
      </x:c>
      <x:c r="M9" s="184" t="str">
        <x:v>https://academic.oup.com/nar/article/54/D1/D363/8250474 | https://aps.unmc.edu/ | https://biomics.lab.nycu.edu.tw/dbPTM/download.php</x:v>
      </x:c>
      <x:c r="N9" s="158" t="str">
        <x:v>Use 675 for natural APD entries; 1,279 and 3,316 have different scopes and must not be added.</x:v>
      </x:c>
    </x:row>
    <x:row r="10" ht="36" customHeight="1">
      <x:c r="A10" s="179" t="str">
        <x:v>PTMF028</x:v>
      </x:c>
      <x:c r="B10" s="150" t="str">
        <x:v>Carbamoylation</x:v>
      </x:c>
      <x:c r="C10" s="179" t="str">
        <x:v>ADJ026</x:v>
      </x:c>
      <x:c r="D10" s="150" t="str">
        <x:v>endogenous protein carbamylation across residue types</x:v>
      </x:c>
      <x:c r="E10" s="150" t="str">
        <x:v>NIH Database of Carbamylated Proteins in the Renal Inner Medulla</x:v>
      </x:c>
      <x:c r="F10" s="151" t="str">
        <x:v>LIVE_AGING</x:v>
      </x:c>
      <x:c r="G10" s="150" t="str">
        <x:v>A dedicated experimental site database remains live, but its substantive dataset is old and tissue/species restricted.</x:v>
      </x:c>
      <x:c r="H10" s="168" t="n">
        <x:v>456</x:v>
      </x:c>
      <x:c r="I10" s="150" t="str">
        <x:v>unique carbamylated sites</x:v>
      </x:c>
      <x:c r="J10" s="151" t="str">
        <x:v>2013 study; page live at 2026-08-14 audit</x:v>
      </x:c>
      <x:c r="K10" s="150" t="str">
        <x:v>LIVE_AGING_DEDICATED_EXPERIMENTAL_SITE_DB</x:v>
      </x:c>
      <x:c r="L10" s="150" t="str">
        <x:v>All spectra were manually examined and site assignments are labeled confident or ambiguous; the dataset is rat renal inner medulla only.</x:v>
      </x:c>
      <x:c r="M10" s="185" t="str">
        <x:v>https://esbl.nhlbi.nih.gov/helixweb/Database/Carbamylation/Carbamylation_peptide_sorted.html</x:v>
      </x:c>
      <x:c r="N10" s="150" t="str">
        <x:v>Retain confidence labels and do not generalize 456 to a cross-species carbamylome.</x:v>
      </x:c>
    </x:row>
    <x:row r="11" ht="36" customHeight="1">
      <x:c r="A11" s="181" t="str">
        <x:v>PTMF029</x:v>
      </x:c>
      <x:c r="B11" s="158" t="str">
        <x:v>Iodination</x:v>
      </x:c>
      <x:c r="C11" s="181" t="str">
        <x:v>ADJ072</x:v>
      </x:c>
      <x:c r="D11" s="158" t="str">
        <x:v>tyrosine iodination child of protein halogenation</x:v>
      </x:c>
      <x:c r="E11" s="158" t="str">
        <x:v>dbPTM experimental download</x:v>
      </x:c>
      <x:c r="F11" s="159" t="str">
        <x:v>GENERAL_ONLY</x:v>
      </x:c>
      <x:c r="G11" s="158" t="str">
        <x:v>Family evidence is present in a current general PTM integrator; no dedicated protein iodination site database was found.</x:v>
      </x:c>
      <x:c r="H11" s="170" t="n">
        <x:v>19</x:v>
      </x:c>
      <x:c r="I11" s="158" t="str">
        <x:v>experimental sites</x:v>
      </x:c>
      <x:c r="J11" s="159" t="str">
        <x:v>live table accessed 2026-08-14</x:v>
      </x:c>
      <x:c r="K11" s="158" t="str">
        <x:v>NO_DEDICATED_SITE_DB_GENERAL_INTEGRATOR_ONLY</x:v>
      </x:c>
      <x:c r="L11" s="158" t="str">
        <x:v>ProteomeScout's current TSV contains 63 iodotyrosine and 34 diiodotyrosine annotation records; Reactome curates the thyroglobulin iodination reaction but is not a residue-site atlas.</x:v>
      </x:c>
      <x:c r="M11" s="184" t="str">
        <x:v>https://biomics.lab.nycu.edu.tw/dbPTM/download.php | https://proteomescout.research.virginia.edu/downloads | https://reactome.org/content/detail/R-HSA-209815</x:v>
      </x:c>
      <x:c r="N11" s="158" t="str">
        <x:v>The final taxonomy merges iodination, bromination, and chlorination as children of Protein halogenation.</x:v>
      </x:c>
    </x:row>
    <x:row r="12" ht="36" customHeight="1">
      <x:c r="A12" s="179" t="str">
        <x:v>PTMF033</x:v>
      </x:c>
      <x:c r="B12" s="150" t="str">
        <x:v>Serotonylation and monoaminylation</x:v>
      </x:c>
      <x:c r="C12" s="179" t="str">
        <x:v>ADJ037</x:v>
      </x:c>
      <x:c r="D12" s="150" t="str">
        <x:v>glutamine serotonylation and related monoamine donor children</x:v>
      </x:c>
      <x:c r="E12" s="150" t="str">
        <x:v>ProteomeXchange PXD054426</x:v>
      </x:c>
      <x:c r="F12" s="151" t="str">
        <x:v>SITE_DATASET</x:v>
      </x:c>
      <x:c r="G12" s="150" t="str">
        <x:v>A current family-specific experimental proteomics dataset is public, but no maintained aggregate monoaminylation site database was found.</x:v>
      </x:c>
      <x:c r="H12" s="168" t="str"/>
      <x:c r="I12" s="150" t="str">
        <x:v>no exact residue-site total stated</x:v>
      </x:c>
      <x:c r="J12" s="151" t="str">
        <x:v>2024-07-31 announcement</x:v>
      </x:c>
      <x:c r="K12" s="150" t="str">
        <x:v>FAMILY_SPECIFIC_STUDY_DATASET_NO_MAINTAINED_DB</x:v>
      </x:c>
      <x:c r="L12" s="150" t="str">
        <x:v>PXD054426 reports over 500 serotonylated proteins and says modification sites were determined without giving an exact site total; dbPTM contains 9 experimental serotonylation sites in its general integrator.</x:v>
      </x:c>
      <x:c r="M12" s="185" t="str">
        <x:v>https://proteomecentral.proteomexchange.org/cgi/GetDataset?ID=PXD054426-1&amp;test=no | https://biomics.lab.nycu.edu.tw/dbPTM/download.php</x:v>
      </x:c>
      <x:c r="N12" s="150" t="str">
        <x:v>Do not convert 'over 500 proteins' into a site count or treat serotonylation as complete coverage of every monoamine child.</x:v>
      </x:c>
    </x:row>
    <x:row r="13" ht="36" customHeight="1">
      <x:c r="A13" s="181" t="str">
        <x:v>PTMF035</x:v>
      </x:c>
      <x:c r="B13" s="158" t="str">
        <x:v>Thiocarboxylation</x:v>
      </x:c>
      <x:c r="C13" s="181" t="str">
        <x:v>ADJ039</x:v>
      </x:c>
      <x:c r="D13" s="158" t="str">
        <x:v>C-terminal protein thiocarboxylation</x:v>
      </x:c>
      <x:c r="E13" s="158" t="str">
        <x:v>dbPTM experimental download</x:v>
      </x:c>
      <x:c r="F13" s="159" t="str">
        <x:v>GENERAL_ONLY</x:v>
      </x:c>
      <x:c r="G13" s="158" t="str">
        <x:v>Family evidence is present in a current general PTM integrator; no dedicated family or narrow-class site resource was found.</x:v>
      </x:c>
      <x:c r="H13" s="170" t="n">
        <x:v>13</x:v>
      </x:c>
      <x:c r="I13" s="158" t="str">
        <x:v>experimental sites</x:v>
      </x:c>
      <x:c r="J13" s="159" t="str">
        <x:v>live table accessed 2026-08-14</x:v>
      </x:c>
      <x:c r="K13" s="158" t="str">
        <x:v>NO_DEDICATED_SITE_DB_GENERAL_INTEGRATOR_ONLY</x:v>
      </x:c>
      <x:c r="L13" s="158" t="str">
        <x:v>Primary biochemical and structural studies exist, but no separately maintained site atlas surfaced.</x:v>
      </x:c>
      <x:c r="M13" s="184" t="str">
        <x:v>https://biomics.lab.nycu.edu.tw/dbPTM/download.php</x:v>
      </x:c>
      <x:c r="N13" s="158" t="str">
        <x:v>The dbPTM count is general-integrator coverage.</x:v>
      </x:c>
    </x:row>
    <x:row r="14" ht="36" customHeight="1">
      <x:c r="A14" s="179" t="str">
        <x:v>PTMF037</x:v>
      </x:c>
      <x:c r="B14" s="150" t="str">
        <x:v>Phosphocholination</x:v>
      </x:c>
      <x:c r="C14" s="179" t="str">
        <x:v>ADJ034</x:v>
      </x:c>
      <x:c r="D14" s="150" t="str">
        <x:v>O-(2-cholinephosphoryl)serine child of phosphoaminoalcoholation</x:v>
      </x:c>
      <x:c r="E14" s="150" t="str">
        <x:v>ProteomeScout current TSV</x:v>
      </x:c>
      <x:c r="F14" s="151" t="str">
        <x:v>GENERAL_ONLY</x:v>
      </x:c>
      <x:c r="G14" s="150" t="str">
        <x:v>Family evidence is present in a current general PTM integrator; no dedicated family or narrow-class site resource was found.</x:v>
      </x:c>
      <x:c r="H14" s="168" t="n">
        <x:v>14</x:v>
      </x:c>
      <x:c r="I14" s="150" t="str">
        <x:v>annotation records (11 standard plus 3 microbial-infection-labeled)</x:v>
      </x:c>
      <x:c r="J14" s="151" t="str">
        <x:v>2026-06-02 TSV</x:v>
      </x:c>
      <x:c r="K14" s="150" t="str">
        <x:v>NO_DEDICATED_SITE_DB_GENERAL_INTEGRATOR_ONLY</x:v>
      </x:c>
      <x:c r="L14" s="150" t="str">
        <x:v>The adjudicated family merges phosphocholination with phosphoethanolamination under donor identity as a child field.</x:v>
      </x:c>
      <x:c r="M14" s="185" t="str">
        <x:v>https://proteomescout.research.virginia.edu/downloads</x:v>
      </x:c>
      <x:c r="N14" s="150" t="str">
        <x:v>Annotation records are not guaranteed to be unique accession-position sites.</x:v>
      </x:c>
    </x:row>
    <x:row r="15" ht="36" customHeight="1">
      <x:c r="A15" s="181" t="str">
        <x:v>PTMF038</x:v>
      </x:c>
      <x:c r="B15" s="158" t="str">
        <x:v>GMPylation</x:v>
      </x:c>
      <x:c r="C15" s="181" t="str">
        <x:v>ADJ075</x:v>
      </x:c>
      <x:c r="D15" s="158" t="str">
        <x:v>protein cysteine S-guanylation by 8-nitro-cGMP</x:v>
      </x:c>
      <x:c r="E15" s="158" t="str">
        <x:v>ProteomeScout current TSV</x:v>
      </x:c>
      <x:c r="F15" s="159" t="str">
        <x:v>GENERAL_ONLY</x:v>
      </x:c>
      <x:c r="G15" s="158" t="str">
        <x:v>Family evidence is present in a current general PTM integrator; no dedicated family or narrow-class site resource was found.</x:v>
      </x:c>
      <x:c r="H15" s="170" t="n">
        <x:v>3</x:v>
      </x:c>
      <x:c r="I15" s="158" t="str">
        <x:v>S-cGMP-cysteine annotation records</x:v>
      </x:c>
      <x:c r="J15" s="159" t="str">
        <x:v>2026-06-02 TSV</x:v>
      </x:c>
      <x:c r="K15" s="158" t="str">
        <x:v>NO_DEDICATED_SITE_DB_GENERAL_INTEGRATOR_ONLY</x:v>
      </x:c>
      <x:c r="L15" s="158" t="str">
        <x:v>Primary chemistry resolves the legacy GMPylation label as electrophilic S-guanylation rather than enzymatic NMPylation.</x:v>
      </x:c>
      <x:c r="M15" s="184" t="str">
        <x:v>https://proteomescout.research.virginia.edu/downloads | https://pubmed.ncbi.nlm.nih.gov/17906641/ | https://pubmed.ncbi.nlm.nih.gov/26784639/</x:v>
      </x:c>
      <x:c r="N15" s="158" t="str">
        <x:v>Map this row to ADJ075 S-guanylation, not to the merged NMPylation family.</x:v>
      </x:c>
    </x:row>
    <x:row r="16" ht="36" customHeight="1">
      <x:c r="A16" s="179" t="str">
        <x:v>PTMF039</x:v>
      </x:c>
      <x:c r="B16" s="150" t="str">
        <x:v>Arginylation</x:v>
      </x:c>
      <x:c r="C16" s="179" t="str">
        <x:v>ADJ025</x:v>
      </x:c>
      <x:c r="D16" s="150" t="str">
        <x:v>human ATE1-dependent N-terminal and midchain arginylation</x:v>
      </x:c>
      <x:c r="E16" s="150" t="str">
        <x:v>Arginylation.com atlas</x:v>
      </x:c>
      <x:c r="F16" s="151" t="str">
        <x:v>ACTIVE_ATLAS</x:v>
      </x:c>
      <x:c r="G16" s="150" t="str">
        <x:v>A current dedicated experimental residue-site atlas/database is published with downloadable site data.</x:v>
      </x:c>
      <x:c r="H16" s="168" t="n">
        <x:v>235</x:v>
      </x:c>
      <x:c r="I16" s="150" t="str">
        <x:v>unique arginylation sites in human proteomes</x:v>
      </x:c>
      <x:c r="J16" s="151" t="str">
        <x:v>2025 publication</x:v>
      </x:c>
      <x:c r="K16" s="150" t="str">
        <x:v>CURRENT_DEDICATED_EXPERIMENTAL_SITE_ATLAS</x:v>
      </x:c>
      <x:c r="L16" s="150" t="str">
        <x:v>The associated atlas indexes human and mouse data and exposes MS1/MS2 evidence and downloads; the paper reports 235 unique human sites from 20 micrograms of input.</x:v>
      </x:c>
      <x:c r="M16" s="185" t="str">
        <x:v>https://pmc.ncbi.nlm.nih.gov/articles/PMC12643917/ | https://www.arginylation.com</x:v>
      </x:c>
      <x:c r="N16" s="150" t="str">
        <x:v>Website returned access control during automated audit, but the 2025 peer-reviewed paper and deposited data substantiate the current atlas and exact count.</x:v>
      </x:c>
    </x:row>
    <x:row r="17" ht="36" customHeight="1">
      <x:c r="A17" s="181" t="str">
        <x:v>PTMF040</x:v>
      </x:c>
      <x:c r="B17" s="158" t="str">
        <x:v>Tyrosination</x:v>
      </x:c>
      <x:c r="C17" s="181" t="str">
        <x:v>ADJ040</x:v>
      </x:c>
      <x:c r="D17" s="158" t="str">
        <x:v>C-terminal re-tyrosination of alpha-tubulin</x:v>
      </x:c>
      <x:c r="E17" s="158" t="str">
        <x:v>TubulinDB</x:v>
      </x:c>
      <x:c r="F17" s="159" t="str">
        <x:v>UNAVAILABLE_HISTORICAL</x:v>
      </x:c>
      <x:c r="G17" s="158" t="str">
        <x:v>A dedicated narrow-class resource was published, but its endpoint was unavailable during the current audit and no tyrosination-specific total is reported in the paper.</x:v>
      </x:c>
      <x:c r="H17" s="170" t="str"/>
      <x:c r="I17" s="158" t="str">
        <x:v>no source-supported tyrosination-only count</x:v>
      </x:c>
      <x:c r="J17" s="159" t="str">
        <x:v>2023 database paper; endpoint audit 2026-08-14</x:v>
      </x:c>
      <x:c r="K17" s="158" t="str">
        <x:v>NO_CURRENT_ACCESSIBLE_DEDICATED_SITE_DB_HISTORICAL_RESOURCE_ONLY</x:v>
      </x:c>
      <x:c r="L17" s="158" t="str">
        <x:v>The 2023 paper reports nearly 18,000 mixed tubulin entries and explicitly includes re-tyrosination, but that overall total is not a tyrosination site count.</x:v>
      </x:c>
      <x:c r="M17" s="184" t="str">
        <x:v>https://journals.plos.org/plosone/article?id=10.1371/journal.pone.0295279</x:v>
      </x:c>
      <x:c r="N17" s="158" t="str">
        <x:v>Do not use the mixed 18,000-entry database total as family coverage.</x:v>
      </x:c>
    </x:row>
    <x:row r="18" ht="36" customHeight="1">
      <x:c r="A18" s="179" t="str">
        <x:v>PTMF044</x:v>
      </x:c>
      <x:c r="B18" s="150" t="str">
        <x:v>S-linked glycosylation</x:v>
      </x:c>
      <x:c r="C18" s="179" t="str">
        <x:v>ADJ042</x:v>
      </x:c>
      <x:c r="D18" s="150" t="str">
        <x:v>S-glycosylation child of Protein glycosylation</x:v>
      </x:c>
      <x:c r="E18" s="150" t="str">
        <x:v>dbPTM experimental download</x:v>
      </x:c>
      <x:c r="F18" s="151" t="str">
        <x:v>GENERAL_ONLY</x:v>
      </x:c>
      <x:c r="G18" s="150" t="str">
        <x:v>Family evidence is present in a current general PTM integrator; no dedicated S-linked glycosylation site database was found.</x:v>
      </x:c>
      <x:c r="H18" s="168" t="n">
        <x:v>5</x:v>
      </x:c>
      <x:c r="I18" s="150" t="str">
        <x:v>experimental sites</x:v>
      </x:c>
      <x:c r="J18" s="151" t="str">
        <x:v>live table accessed 2026-08-14</x:v>
      </x:c>
      <x:c r="K18" s="150" t="str">
        <x:v>NO_DEDICATED_S_LINKED_SITE_DB_GENERAL_INTEGRATOR_ONLY</x:v>
      </x:c>
      <x:c r="L18" s="150" t="str">
        <x:v>Current GlyGen summary tables enumerate N-, O-, and C-linked site categories but do not report an S-linked category; the merged Protein glycosylation family remains strongly covered overall.</x:v>
      </x:c>
      <x:c r="M18" s="185" t="str">
        <x:v>https://biomics.lab.nycu.edu.tw/dbPTM/download.php | https://pmc.ncbi.nlm.nih.gov/articles/PMC13345530/</x:v>
      </x:c>
      <x:c r="N18" s="150" t="str">
        <x:v>This is a subtype gap, not absence of dedicated resources for glycosylation as a whole.</x:v>
      </x:c>
    </x:row>
    <x:row r="19" ht="36" customHeight="1">
      <x:c r="A19" s="181" t="str">
        <x:v>PTMF047</x:v>
      </x:c>
      <x:c r="B19" s="158" t="str">
        <x:v>Decanoylation</x:v>
      </x:c>
      <x:c r="C19" s="181" t="str">
        <x:v>ADJ048</x:v>
      </x:c>
      <x:c r="D19" s="158" t="str">
        <x:v>decanoyl child of protein fatty acylation</x:v>
      </x:c>
      <x:c r="E19" s="158" t="str">
        <x:v>dbPTM experimental download</x:v>
      </x:c>
      <x:c r="F19" s="159" t="str">
        <x:v>GENERAL_ONLY</x:v>
      </x:c>
      <x:c r="G19" s="158" t="str">
        <x:v>Family evidence is present in a current general PTM integrator; no dedicated decanoylation site database was found.</x:v>
      </x:c>
      <x:c r="H19" s="170" t="n">
        <x:v>6</x:v>
      </x:c>
      <x:c r="I19" s="158" t="str">
        <x:v>experimental sites</x:v>
      </x:c>
      <x:c r="J19" s="159" t="str">
        <x:v>live table accessed 2026-08-14</x:v>
      </x:c>
      <x:c r="K19" s="158" t="str">
        <x:v>NO_DEDICATED_SUBTYPE_SITE_DB_GENERAL_INTEGRATOR_ONLY</x:v>
      </x:c>
      <x:c r="L19" s="158" t="str">
        <x:v>Reactome notes that decanoyl ghrelin is detected, but it is a pathway record rather than a residue-site atlas.</x:v>
      </x:c>
      <x:c r="M19" s="184" t="str">
        <x:v>https://biomics.lab.nycu.edu.tw/dbPTM/download.php | https://reactome.org/content/detail/R-HSA-422104</x:v>
      </x:c>
      <x:c r="N19" s="158" t="str">
        <x:v>The final taxonomy treats fatty-acid chain identity as a child field.</x:v>
      </x:c>
    </x:row>
    <x:row r="20" ht="36" customHeight="1">
      <x:c r="A20" s="179" t="str">
        <x:v>PTMF051</x:v>
      </x:c>
      <x:c r="B20" s="150" t="str">
        <x:v>Hydroxyceramide ester</x:v>
      </x:c>
      <x:c r="C20" s="179" t="str">
        <x:v>ADJ045</x:v>
      </x:c>
      <x:c r="D20" s="150" t="str">
        <x:v>hydroxyceramide esterification</x:v>
      </x:c>
      <x:c r="E20" s="150" t="str">
        <x:v>dbPTM experimental download</x:v>
      </x:c>
      <x:c r="F20" s="151" t="str">
        <x:v>GENERAL_ONLY</x:v>
      </x:c>
      <x:c r="G20" s="150" t="str">
        <x:v>Family evidence is present in a current general PTM integrator; no dedicated family or narrow-class site resource was found.</x:v>
      </x:c>
      <x:c r="H20" s="168" t="n">
        <x:v>3</x:v>
      </x:c>
      <x:c r="I20" s="150" t="str">
        <x:v>experimental sites</x:v>
      </x:c>
      <x:c r="J20" s="151" t="str">
        <x:v>live table accessed 2026-08-14</x:v>
      </x:c>
      <x:c r="K20" s="150" t="str">
        <x:v>NO_DEDICATED_SITE_DB_GENERAL_INTEGRATOR_ONLY</x:v>
      </x:c>
      <x:c r="L20" s="150" t="str">
        <x:v>No independently maintained hydroxyceramide-ester site atlas surfaced.</x:v>
      </x:c>
      <x:c r="M20" s="185" t="str">
        <x:v>https://biomics.lab.nycu.edu.tw/dbPTM/download.php</x:v>
      </x:c>
      <x:c r="N20" s="150" t="str">
        <x:v>The dbPTM count is general-integrator coverage.</x:v>
      </x:c>
    </x:row>
    <x:row r="21" ht="36" customHeight="1">
      <x:c r="A21" s="181" t="str">
        <x:v>PTMF054</x:v>
      </x:c>
      <x:c r="B21" s="158" t="str">
        <x:v>Octanoylation</x:v>
      </x:c>
      <x:c r="C21" s="181" t="str">
        <x:v>ADJ048</x:v>
      </x:c>
      <x:c r="D21" s="158" t="str">
        <x:v>octanoyl child of protein fatty acylation</x:v>
      </x:c>
      <x:c r="E21" s="158" t="str">
        <x:v>dbPTM experimental download</x:v>
      </x:c>
      <x:c r="F21" s="159" t="str">
        <x:v>GENERAL_ONLY</x:v>
      </x:c>
      <x:c r="G21" s="158" t="str">
        <x:v>Family evidence is present in a current general PTM integrator; no dedicated octanoylation site database was found.</x:v>
      </x:c>
      <x:c r="H21" s="170" t="n">
        <x:v>7</x:v>
      </x:c>
      <x:c r="I21" s="158" t="str">
        <x:v>experimental sites</x:v>
      </x:c>
      <x:c r="J21" s="159" t="str">
        <x:v>live table accessed 2026-08-14</x:v>
      </x:c>
      <x:c r="K21" s="158" t="str">
        <x:v>NO_DEDICATED_SUBTYPE_SITE_DB_GENERAL_INTEGRATOR_ONLY</x:v>
      </x:c>
      <x:c r="L21" s="158" t="str">
        <x:v>Reactome curates ghrelin Ser3 octanoylation and states ghrelin is the only protein known to undergo this modification, but it is not a residue-site atlas.</x:v>
      </x:c>
      <x:c r="M21" s="184" t="str">
        <x:v>https://biomics.lab.nycu.edu.tw/dbPTM/download.php | https://reactome.org/content/detail/R-HSA-422104</x:v>
      </x:c>
      <x:c r="N21" s="158" t="str">
        <x:v>The final taxonomy treats fatty-acid chain identity as a child field.</x:v>
      </x:c>
    </x:row>
    <x:row r="22" ht="36" customHeight="1">
      <x:c r="A22" s="179" t="str">
        <x:v>PTMF055</x:v>
      </x:c>
      <x:c r="B22" s="150" t="str">
        <x:v>O-palmitoleoylation</x:v>
      </x:c>
      <x:c r="C22" s="179" t="str">
        <x:v>ADJ048</x:v>
      </x:c>
      <x:c r="D22" s="150" t="str">
        <x:v>O-palmitoleoyl child of protein fatty acylation</x:v>
      </x:c>
      <x:c r="E22" s="150" t="str">
        <x:v>dbPTM experimental download</x:v>
      </x:c>
      <x:c r="F22" s="151" t="str">
        <x:v>GENERAL_ONLY</x:v>
      </x:c>
      <x:c r="G22" s="150" t="str">
        <x:v>Family evidence is present in a current general PTM integrator; no dedicated O-palmitoleoylation site database was found.</x:v>
      </x:c>
      <x:c r="H22" s="168" t="n">
        <x:v>6</x:v>
      </x:c>
      <x:c r="I22" s="150" t="str">
        <x:v>experimental sites</x:v>
      </x:c>
      <x:c r="J22" s="151" t="str">
        <x:v>live table accessed 2026-08-14</x:v>
      </x:c>
      <x:c r="K22" s="150" t="str">
        <x:v>NO_DEDICATED_SUBTYPE_SITE_DB_GENERAL_INTEGRATOR_ONLY</x:v>
      </x:c>
      <x:c r="L22" s="150" t="str">
        <x:v>PORCN/Wnt pathway and enzyme resources document the chemistry but do not provide a maintained experimental residue-site atlas.</x:v>
      </x:c>
      <x:c r="M22" s="185" t="str">
        <x:v>https://biomics.lab.nycu.edu.tw/dbPTM/download.php | https://www.brenda-enzymes.org/enzyme.php?ecno=2.3.1.250</x:v>
      </x:c>
      <x:c r="N22" s="150" t="str">
        <x:v>The final taxonomy treats fatty-acid chain and linkage identity as child fields.</x:v>
      </x:c>
    </x:row>
    <x:row r="23" ht="36" customHeight="1">
      <x:c r="A23" s="181" t="str">
        <x:v>PTMF056</x:v>
      </x:c>
      <x:c r="B23" s="158" t="str">
        <x:v>Phosphatidylethanolamine amidation</x:v>
      </x:c>
      <x:c r="C23" s="181" t="str">
        <x:v>ADJ046</x:v>
      </x:c>
      <x:c r="D23" s="158" t="str">
        <x:v>protein phosphatidylethanolamine attachment</x:v>
      </x:c>
      <x:c r="E23" s="158" t="str">
        <x:v>dbPTM experimental download</x:v>
      </x:c>
      <x:c r="F23" s="159" t="str">
        <x:v>GENERAL_ONLY</x:v>
      </x:c>
      <x:c r="G23" s="158" t="str">
        <x:v>Family evidence is present in a current general PTM integrator; no dedicated family or narrow-class site resource was found.</x:v>
      </x:c>
      <x:c r="H23" s="170" t="n">
        <x:v>9</x:v>
      </x:c>
      <x:c r="I23" s="158" t="str">
        <x:v>experimental sites</x:v>
      </x:c>
      <x:c r="J23" s="159" t="str">
        <x:v>live table accessed 2026-08-14</x:v>
      </x:c>
      <x:c r="K23" s="158" t="str">
        <x:v>NO_DEDICATED_SITE_DB_GENERAL_INTEGRATOR_ONLY</x:v>
      </x:c>
      <x:c r="L23" s="158" t="str">
        <x:v>Autophagy resources describe ATG8-family lipid conjugation, but no maintained experimental protein-residue site atlas specific to PE amidation surfaced.</x:v>
      </x:c>
      <x:c r="M23" s="184" t="str">
        <x:v>https://biomics.lab.nycu.edu.tw/dbPTM/download.php</x:v>
      </x:c>
      <x:c r="N23" s="158" t="str">
        <x:v>Do not conflate protein PE amidation with protein ATG8ylation of lysine targets.</x:v>
      </x:c>
    </x:row>
    <x:row r="24" ht="36" customHeight="1">
      <x:c r="A24" s="180" t="str">
        <x:v>PTMF057</x:v>
      </x:c>
      <x:c r="B24" s="154" t="str">
        <x:v>S-archaeol</x:v>
      </x:c>
      <x:c r="C24" s="180" t="str">
        <x:v>ADJ049</x:v>
      </x:c>
      <x:c r="D24" s="154" t="str">
        <x:v>archaeal S-archaeol protein lipidation</x:v>
      </x:c>
      <x:c r="E24" s="154" t="str">
        <x:v>dbPTM experimental download</x:v>
      </x:c>
      <x:c r="F24" s="155" t="str">
        <x:v>GENERAL_ONLY</x:v>
      </x:c>
      <x:c r="G24" s="154" t="str">
        <x:v>Family evidence is present in a current general PTM integrator; no dedicated family or narrow-class site resource was found.</x:v>
      </x:c>
      <x:c r="H24" s="169" t="n">
        <x:v>1</x:v>
      </x:c>
      <x:c r="I24" s="154" t="str">
        <x:v>experimental site</x:v>
      </x:c>
      <x:c r="J24" s="155" t="str">
        <x:v>live table accessed 2026-08-14</x:v>
      </x:c>
      <x:c r="K24" s="154" t="str">
        <x:v>NO_DEDICATED_SITE_DB_GENERAL_INTEGRATOR_ONLY</x:v>
      </x:c>
      <x:c r="L24" s="154" t="str">
        <x:v>No separately maintained archaeal S-archaeol residue-site atlas surfaced.</x:v>
      </x:c>
      <x:c r="M24" s="186" t="str">
        <x:v>https://biomics.lab.nycu.edu.tw/dbPTM/download.php</x:v>
      </x:c>
      <x:c r="N24" s="154" t="str">
        <x:v>The dbPTM count is general-integrator coverage.</x:v>
      </x:c>
    </x:row>
  </x:sheetData>
  <x:conditionalFormatting sqref="F2:F24">
    <x:cfRule type="containsText" dxfId="89" priority="1" operator="containsText" text="ACTIVE"/>
    <x:cfRule type="containsText" dxfId="90" priority="2" operator="containsText" text="LIVE"/>
    <x:cfRule type="containsText" dxfId="91" priority="3" operator="containsText" text="UNAVAILABLE"/>
    <x:cfRule type="containsText" dxfId="92" priority="4" operator="containsText" text="RETIRED"/>
    <x:cfRule type="containsText" dxfId="93" priority="5" operator="containsText" text="SUPERSEDED"/>
    <x:cfRule type="containsText" dxfId="94" priority="6" operator="containsText" text="BROKEN"/>
    <x:cfRule type="containsText" dxfId="95" priority="7" operator="containsText" text="NONE"/>
    <x:cfRule type="containsText" dxfId="96" priority="8" operator="containsText" text="NO_DEDICATED"/>
    <x:cfRule type="containsText" dxfId="97" priority="9" operator="containsText" text="GENERAL"/>
    <x:cfRule type="containsText" dxfId="98" priority="10" operator="containsText" text="PRIMARY"/>
    <x:cfRule type="containsText" dxfId="99" priority="11" operator="containsText" text="STRUCTURAL"/>
    <x:cfRule type="containsText" dxfId="100" priority="12" operator="containsText" text="MOTIF_RESOURCE"/>
    <x:cfRule type="containsText" dxfId="101" priority="13" operator="containsText" text="PATHWAY"/>
    <x:cfRule type="containsText" dxfId="102" priority="14" operator="containsText" text="ENZYME_RESOURCE"/>
    <x:cfRule type="containsText" dxfId="103" priority="15" operator="containsText" text="SITE_DATASET"/>
    <x:cfRule type="containsText" dxfId="104" priority="16" operator="containsText" text="SITE_ATLAS"/>
    <x:cfRule type="containsText" dxfId="105" priority="17" operator="containsText" text="STALE"/>
    <x:cfRule type="containsText" dxfId="106" priority="18" operator="containsText" text="STATIC"/>
  </x:conditionalFormatting>
  <x:hyperlinks>
    <x:hyperlink ref="M2" r:id="rIdHyperlink1"/>
    <x:hyperlink ref="M3" r:id="rIdHyperlink2"/>
    <x:hyperlink ref="M4" r:id="rIdHyperlink3"/>
    <x:hyperlink ref="M5" r:id="rIdHyperlink4"/>
    <x:hyperlink ref="M6" r:id="rIdHyperlink5"/>
    <x:hyperlink ref="M7" r:id="rIdHyperlink6"/>
    <x:hyperlink ref="M8" r:id="rIdHyperlink7"/>
    <x:hyperlink ref="M9" r:id="rIdHyperlink8"/>
    <x:hyperlink ref="M10" r:id="rIdHyperlink9"/>
    <x:hyperlink ref="M11" r:id="rIdHyperlink10"/>
    <x:hyperlink ref="M12" r:id="rIdHyperlink11"/>
    <x:hyperlink ref="M13" r:id="rIdHyperlink12"/>
    <x:hyperlink ref="M14" r:id="rIdHyperlink13"/>
    <x:hyperlink ref="M15" r:id="rIdHyperlink14"/>
    <x:hyperlink ref="M16" r:id="rIdHyperlink15"/>
    <x:hyperlink ref="M17" r:id="rIdHyperlink16"/>
    <x:hyperlink ref="M18" r:id="rIdHyperlink17"/>
    <x:hyperlink ref="M19" r:id="rIdHyperlink18"/>
    <x:hyperlink ref="M20" r:id="rIdHyperlink19"/>
    <x:hyperlink ref="M21" r:id="rIdHyperlink20"/>
    <x:hyperlink ref="M22" r:id="rIdHyperlink21"/>
    <x:hyperlink ref="M23" r:id="rIdHyperlink22"/>
    <x:hyperlink ref="M24" r:id="rIdHyperlink23"/>
  </x:hyperlinks>
  <x:pageMargins left="0.7" right="0.7" top="0.75" bottom="0.75" header="0.3" footer="0.3"/>
  <x:tableParts count="1">
    <x:tablePart xmlns:r="http://schemas.openxmlformats.org/officeDocument/2006/relationships" r:id="Rd1c70505947a4e2a"/>
  </x:tableParts>
</x:worksheet>
</file>

<file path=xl/worksheets/sheet9.xml><?xml version="1.0" encoding="utf-8"?>
<x:worksheet xmlns:x="http://schemas.openxmlformats.org/spreadsheetml/2006/main" xmlns:r="http://schemas.openxmlformats.org/officeDocument/2006/relationships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0.5600004196167" hidden="0" customWidth="1"/>
    <x:col min="2" max="2" width="21.670000076293945" hidden="0" customWidth="1"/>
    <x:col min="3" max="3" width="21.110000610351562" hidden="0" customWidth="1"/>
    <x:col min="4" max="4" width="10" hidden="0" customWidth="1"/>
    <x:col min="5" max="5" width="13.109999656677246" hidden="0" customWidth="1"/>
    <x:col min="6" max="6" width="13.109999656677246" hidden="0" customWidth="1"/>
    <x:col min="7" max="7" width="15.5600004196167" hidden="0" customWidth="1"/>
    <x:col min="8" max="8" width="26.670000076293945" hidden="0" customWidth="1"/>
    <x:col min="9" max="9" width="27.219999313354492" hidden="0" customWidth="1"/>
    <x:col min="10" max="10" width="17.219999313354492" hidden="0" customWidth="1"/>
    <x:col min="11" max="11" width="34.439998626708984" hidden="0" customWidth="1"/>
    <x:col min="12" max="12" width="28.889999389648438" hidden="0" customWidth="1"/>
    <x:col min="13" max="13" width="10.5600004196167" hidden="0" customWidth="1"/>
    <x:col min="14" max="14" width="26.110000610351562" hidden="0" customWidth="1"/>
    <x:col min="15" max="15" width="15" hidden="0" customWidth="1"/>
    <x:col min="16" max="16" width="27.780000686645508" hidden="0" customWidth="1"/>
    <x:col min="17" max="17" width="32.220001220703125" hidden="0" customWidth="1"/>
    <x:col min="18" max="18" width="31.670000076293945" hidden="0" customWidth="1"/>
    <x:col min="19" max="19" width="33.33000183105469" hidden="0" customWidth="1"/>
    <x:col min="20" max="20" width="35.560001373291016" hidden="0" customWidth="1"/>
  </x:cols>
  <x:sheetData>
    <x:row r="1" ht="33" customHeight="1">
      <x:c r="A1" s="135" t="str">
        <x:v>Legacy family ID</x:v>
      </x:c>
      <x:c r="B1" s="135" t="str">
        <x:v>Legacy family</x:v>
      </x:c>
      <x:c r="C1" s="135" t="str">
        <x:v>Primary chemistry class</x:v>
      </x:c>
      <x:c r="D1" s="135" t="str">
        <x:v>In denominator</x:v>
      </x:c>
      <x:c r="E1" s="135" t="str">
        <x:v>Dedicated resource ever</x:v>
      </x:c>
      <x:c r="F1" s="135" t="str">
        <x:v>Live dedicated resource</x:v>
      </x:c>
      <x:c r="G1" s="135" t="str">
        <x:v>Active, maintained resource</x:v>
      </x:c>
      <x:c r="H1" s="135" t="str">
        <x:v>Best current resource</x:v>
      </x:c>
      <x:c r="I1" s="135" t="str">
        <x:v>Resource class</x:v>
      </x:c>
      <x:c r="J1" s="135" t="str">
        <x:v>Resource status</x:v>
      </x:c>
      <x:c r="K1" s="135" t="str">
        <x:v>Status definition</x:v>
      </x:c>
      <x:c r="L1" s="135" t="str">
        <x:v>Experimental site evidence</x:v>
      </x:c>
      <x:c r="M1" s="135" t="str">
        <x:v>Count</x:v>
      </x:c>
      <x:c r="N1" s="135" t="str">
        <x:v>Count unit</x:v>
      </x:c>
      <x:c r="O1" s="135" t="str">
        <x:v>Count snapshot</x:v>
      </x:c>
      <x:c r="P1" s="135" t="str">
        <x:v>Coverage decision</x:v>
      </x:c>
      <x:c r="Q1" s="135" t="str">
        <x:v>Search scope / date</x:v>
      </x:c>
      <x:c r="R1" s="135" t="str">
        <x:v>Source URL</x:v>
      </x:c>
      <x:c r="S1" s="135" t="str">
        <x:v>Other evidence</x:v>
      </x:c>
      <x:c r="T1" s="135" t="str">
        <x:v>Notes</x:v>
      </x:c>
    </x:row>
    <x:row r="2" ht="36" customHeight="1">
      <x:c r="A2" s="145" t="str">
        <x:v>PTMF058</x:v>
      </x:c>
      <x:c r="B2" s="146" t="str">
        <x:v>S-diacylglycerol</x:v>
      </x:c>
      <x:c r="C2" s="146" t="str">
        <x:v>Lipidation</x:v>
      </x:c>
      <x:c r="D2" s="147" t="n">
        <x:v>1</x:v>
      </x:c>
      <x:c r="E2" s="147" t="n">
        <x:v>0</x:v>
      </x:c>
      <x:c r="F2" s="147" t="n">
        <x:v>0</x:v>
      </x:c>
      <x:c r="G2" s="147" t="n">
        <x:v>0</x:v>
      </x:c>
      <x:c r="H2" s="146" t="str">
        <x:v>DOLOP</x:v>
      </x:c>
      <x:c r="I2" s="146" t="str">
        <x:v>live aging bacterial lipoprotein sequence database with mixed predicted and experimental entries; not a residue-site atlas</x:v>
      </x:c>
      <x:c r="J2" s="147" t="str">
        <x:v>LIVE_AGING</x:v>
      </x:c>
      <x:c r="K2" s="146" t="str">
        <x:v>Portal or resource responds, but its latest substantive release or embedded corpus is old or has no recent maintenance evidence.</x:v>
      </x:c>
      <x:c r="L2" s="146" t="str">
        <x:v>mixed; no experimental residue-site inventory</x:v>
      </x:c>
      <x:c r="M2" s="167" t="n">
        <x:v>278</x:v>
      </x:c>
      <x:c r="N2" s="146" t="str">
        <x:v>distinct bacterial lipoprotein entries from 234 genomes; entries are not experimentally confirmed modification sites</x:v>
      </x:c>
      <x:c r="O2" s="147" t="str">
        <x:v>2006 database paper; live list accessed 2026-08-14</x:v>
      </x:c>
      <x:c r="P2" s="146" t="str">
        <x:v>LIVE_AGING_NARROW_PROTEIN_DB_NOT_EXPERIMENTAL_SITE_ATLAS</x:v>
      </x:c>
      <x:c r="Q2" s="146" t="str">
        <x:v>DOLOP official live list and primary database paper; dbPTM official statistics; checked 2026-08-14</x:v>
      </x:c>
      <x:c r="R2" s="183" t="str">
        <x:v>https://www.mrc-lmb.cam.ac.uk/genomes/dolop/list.shtml | https://pmc.ncbi.nlm.nih.gov/articles/PMC1446993/ | https://biomics.lab.nycu.edu.tw/dbPTM/statistics.php</x:v>
      </x:c>
      <x:c r="S2" s="146" t="str">
        <x:v>dbPTM Release 2024 reports 58 experimental S-diacylglycerol sites in its general integrator.</x:v>
      </x:c>
      <x:c r="T2" s="146" t="str">
        <x:v>DOLOP is chemically relevant but cannot be counted as a dedicated experimental residue-site database.</x:v>
      </x:c>
    </x:row>
    <x:row r="3" ht="36" customHeight="1">
      <x:c r="A3" s="157" t="str">
        <x:v>PTMF059</x:v>
      </x:c>
      <x:c r="B3" s="158" t="str">
        <x:v>Stearoylation</x:v>
      </x:c>
      <x:c r="C3" s="158" t="str">
        <x:v>Lipidation</x:v>
      </x:c>
      <x:c r="D3" s="159" t="n">
        <x:v>1</x:v>
      </x:c>
      <x:c r="E3" s="159" t="n">
        <x:v>0</x:v>
      </x:c>
      <x:c r="F3" s="159" t="n">
        <x:v>0</x:v>
      </x:c>
      <x:c r="G3" s="159" t="n">
        <x:v>0</x:v>
      </x:c>
      <x:c r="H3" s="158" t="str">
        <x:v>dbPTM 2025 general integrator</x:v>
      </x:c>
      <x:c r="I3" s="158" t="str">
        <x:v>current general multi-PTM integrator</x:v>
      </x:c>
      <x:c r="J3" s="159" t="str">
        <x:v>GENERAL_INTEGRATOR_ONLY</x:v>
      </x:c>
      <x:c r="K3" s="158" t="str">
        <x:v>Exact family-level residue evidence was found only in a general multi-PTM integrator, not a family-specific experimental site database.</x:v>
      </x:c>
      <x:c r="L3" s="158" t="str">
        <x:v>yes; general-integrator residue records</x:v>
      </x:c>
      <x:c r="M3" s="170" t="n">
        <x:v>3</x:v>
      </x:c>
      <x:c r="N3" s="158" t="str">
        <x:v>experimental stearoylation sites in the fixed dbPTM Release 2024 statistics table</x:v>
      </x:c>
      <x:c r="O3" s="159" t="str">
        <x:v>dbPTM Release 2024; accessed 2026-08-14</x:v>
      </x:c>
      <x:c r="P3" s="158" t="str">
        <x:v>GENERAL_INTEGRATOR_ONLY_NO_DEDICATED_DB</x:v>
      </x:c>
      <x:c r="Q3" s="158" t="str">
        <x:v>dbPTM official statistics plus targeted dedicated-resource search; checked 2026-08-14</x:v>
      </x:c>
      <x:c r="R3" s="184" t="str">
        <x:v>https://biomics.lab.nycu.edu.tw/dbPTM/statistics.php</x:v>
      </x:c>
      <x:c r="S3" s="158" t="str"/>
      <x:c r="T3" s="158" t="str">
        <x:v>dbPTM also reports 10 putative sites; the experimental count is kept separate.</x:v>
      </x:c>
    </x:row>
    <x:row r="4" ht="36" customHeight="1">
      <x:c r="A4" s="149" t="str">
        <x:v>PTMF065</x:v>
      </x:c>
      <x:c r="B4" s="150" t="str">
        <x:v>UFMylation</x:v>
      </x:c>
      <x:c r="C4" s="150" t="str">
        <x:v>Protein and peptide-tag conjugation</x:v>
      </x:c>
      <x:c r="D4" s="151" t="n">
        <x:v>1</x:v>
      </x:c>
      <x:c r="E4" s="151" t="n">
        <x:v>0</x:v>
      </x:c>
      <x:c r="F4" s="151" t="n">
        <x:v>0</x:v>
      </x:c>
      <x:c r="G4" s="151" t="n">
        <x:v>0</x:v>
      </x:c>
      <x:c r="H4" s="150" t="str">
        <x:v>none dedicated found</x:v>
      </x:c>
      <x:c r="I4" s="150" t="str">
        <x:v>targeted database, atlas, and primary-literature search</x:v>
      </x:c>
      <x:c r="J4" s="151" t="str">
        <x:v>NONE_FOUND</x:v>
      </x:c>
      <x:c r="K4" s="150" t="str">
        <x:v>No family-specific or narrow-class experimental residue-site database or atlas was found in the checked official and primary sources.</x:v>
      </x:c>
      <x:c r="L4" s="150" t="str">
        <x:v>no dedicated residue-site inventory</x:v>
      </x:c>
      <x:c r="M4" s="168" t="str"/>
      <x:c r="N4" s="150" t="str"/>
      <x:c r="O4" s="151" t="str"/>
      <x:c r="P4" s="150" t="str">
        <x:v>SEARCHED_NO_DEDICATED_EXPERIMENTAL_SITE_RESOURCE</x:v>
      </x:c>
      <x:c r="Q4" s="150" t="str">
        <x:v>UFMylation reviews, urPTMdb/TeaProt, BioGRID and general PTM-resource search; checked 2026-08-14</x:v>
      </x:c>
      <x:c r="R4" s="185" t="str">
        <x:v>https://pmc.ncbi.nlm.nih.gov/articles/PMC10648299/ | https://pubs.acs.org/doi/10.1021/acs.jproteome.2c00048</x:v>
      </x:c>
      <x:c r="S4" s="150" t="str">
        <x:v>urPTMdb/TeaProt is a gene-set/enrichment resource for underrepresented PTMs, not a residue-site database; current reviews tabulate substrates but do not provide a maintained site atlas.</x:v>
      </x:c>
      <x:c r="T4" s="150" t="str">
        <x:v>Old BioGRID PTM-event snapshots were not treated as current family counts.</x:v>
      </x:c>
    </x:row>
    <x:row r="5" ht="36" customHeight="1">
      <x:c r="A5" s="157" t="str">
        <x:v>PTMF066</x:v>
      </x:c>
      <x:c r="B5" s="158" t="str">
        <x:v>FAT10ylation</x:v>
      </x:c>
      <x:c r="C5" s="158" t="str">
        <x:v>Protein and peptide-tag conjugation</x:v>
      </x:c>
      <x:c r="D5" s="159" t="n">
        <x:v>1</x:v>
      </x:c>
      <x:c r="E5" s="159" t="n">
        <x:v>0</x:v>
      </x:c>
      <x:c r="F5" s="159" t="n">
        <x:v>0</x:v>
      </x:c>
      <x:c r="G5" s="159" t="n">
        <x:v>0</x:v>
      </x:c>
      <x:c r="H5" s="158" t="str">
        <x:v>none dedicated found</x:v>
      </x:c>
      <x:c r="I5" s="158" t="str">
        <x:v>targeted database, atlas, and primary-literature search</x:v>
      </x:c>
      <x:c r="J5" s="159" t="str">
        <x:v>NONE_FOUND</x:v>
      </x:c>
      <x:c r="K5" s="158" t="str">
        <x:v>No family-specific or narrow-class experimental residue-site database or atlas was found in the checked official and primary sources.</x:v>
      </x:c>
      <x:c r="L5" s="158" t="str">
        <x:v>no dedicated residue-site inventory</x:v>
      </x:c>
      <x:c r="M5" s="170" t="str"/>
      <x:c r="N5" s="158" t="str"/>
      <x:c r="O5" s="159" t="str"/>
      <x:c r="P5" s="158" t="str">
        <x:v>SEARCHED_NO_DEDICATED_EXPERIMENTAL_SITE_RESOURCE</x:v>
      </x:c>
      <x:c r="Q5" s="158" t="str">
        <x:v>FAT10 reviews, urPTMdb/TeaProt, BioGRID and general PTM-resource search; checked 2026-08-14</x:v>
      </x:c>
      <x:c r="R5" s="184" t="str">
        <x:v>https://pmc.ncbi.nlm.nih.gov/articles/PMC5815371/ | https://pubs.acs.org/doi/10.1021/acs.jproteome.2c00048</x:v>
      </x:c>
      <x:c r="S5" s="158" t="str">
        <x:v>urPTMdb/TeaProt is a gene-set/enrichment resource, not a residue-site database.</x:v>
      </x:c>
      <x:c r="T5" s="158" t="str">
        <x:v>A 2017 BioGRID snapshot is historical and was not promoted to a current exact count.</x:v>
      </x:c>
    </x:row>
    <x:row r="6" ht="36" customHeight="1">
      <x:c r="A6" s="149" t="str">
        <x:v>PTMF067</x:v>
      </x:c>
      <x:c r="B6" s="150" t="str">
        <x:v>Urmylation</x:v>
      </x:c>
      <x:c r="C6" s="150" t="str">
        <x:v>Protein and peptide-tag conjugation</x:v>
      </x:c>
      <x:c r="D6" s="151" t="n">
        <x:v>1</x:v>
      </x:c>
      <x:c r="E6" s="151" t="n">
        <x:v>0</x:v>
      </x:c>
      <x:c r="F6" s="151" t="n">
        <x:v>0</x:v>
      </x:c>
      <x:c r="G6" s="151" t="n">
        <x:v>0</x:v>
      </x:c>
      <x:c r="H6" s="150" t="str">
        <x:v>none dedicated found</x:v>
      </x:c>
      <x:c r="I6" s="150" t="str">
        <x:v>targeted database, atlas, and primary-literature search</x:v>
      </x:c>
      <x:c r="J6" s="151" t="str">
        <x:v>NONE_FOUND</x:v>
      </x:c>
      <x:c r="K6" s="150" t="str">
        <x:v>No family-specific or narrow-class experimental residue-site database or atlas was found in the checked official and primary sources.</x:v>
      </x:c>
      <x:c r="L6" s="150" t="str">
        <x:v>no dedicated residue-site inventory</x:v>
      </x:c>
      <x:c r="M6" s="168" t="str"/>
      <x:c r="N6" s="150" t="str"/>
      <x:c r="O6" s="151" t="str"/>
      <x:c r="P6" s="150" t="str">
        <x:v>SEARCHED_NO_DEDICATED_EXPERIMENTAL_SITE_RESOURCE</x:v>
      </x:c>
      <x:c r="Q6" s="150" t="str">
        <x:v>Urm1/Urmylation reviews and targeted database search; checked 2026-08-14</x:v>
      </x:c>
      <x:c r="R6" s="185" t="str">
        <x:v>https://pmc.ncbi.nlm.nih.gov/articles/PMC5815371/</x:v>
      </x:c>
      <x:c r="S6" s="150" t="str"/>
      <x:c r="T6" s="150" t="str">
        <x:v>No maintained family-specific experimental residue-site atlas was located.</x:v>
      </x:c>
    </x:row>
    <x:row r="7" ht="36" customHeight="1">
      <x:c r="A7" s="157" t="str">
        <x:v>PTMF068</x:v>
      </x:c>
      <x:c r="B7" s="158" t="str">
        <x:v>Protein ATG8ylation</x:v>
      </x:c>
      <x:c r="C7" s="158" t="str">
        <x:v>Protein and peptide-tag conjugation</x:v>
      </x:c>
      <x:c r="D7" s="159" t="n">
        <x:v>1</x:v>
      </x:c>
      <x:c r="E7" s="159" t="n">
        <x:v>0</x:v>
      </x:c>
      <x:c r="F7" s="159" t="n">
        <x:v>0</x:v>
      </x:c>
      <x:c r="G7" s="159" t="n">
        <x:v>0</x:v>
      </x:c>
      <x:c r="H7" s="158" t="str">
        <x:v>none dedicated found</x:v>
      </x:c>
      <x:c r="I7" s="158" t="str">
        <x:v>targeted database and atlas search for a newly established conjugation class</x:v>
      </x:c>
      <x:c r="J7" s="159" t="str">
        <x:v>NONE_FOUND</x:v>
      </x:c>
      <x:c r="K7" s="158" t="str">
        <x:v>No family-specific or narrow-class experimental residue-site database or atlas was found in the checked official and primary sources.</x:v>
      </x:c>
      <x:c r="L7" s="158" t="str">
        <x:v>no dedicated residue-site inventory</x:v>
      </x:c>
      <x:c r="M7" s="170" t="str"/>
      <x:c r="N7" s="158" t="str"/>
      <x:c r="O7" s="159" t="str"/>
      <x:c r="P7" s="158" t="str">
        <x:v>SEARCHED_NO_DEDICATED_EXPERIMENTAL_SITE_RESOURCE</x:v>
      </x:c>
      <x:c r="Q7" s="158" t="str">
        <x:v>recent primary ATG8ylation literature and targeted resource search; checked 2026-08-14</x:v>
      </x:c>
      <x:c r="R7" s="184" t="str">
        <x:v>https://pubmed.ncbi.nlm.nih.gov/41187061/</x:v>
      </x:c>
      <x:c r="S7" s="158" t="str">
        <x:v>Recent primary work establishes protein ATG8ylation, but no maintained residue-site database or atlas was found.</x:v>
      </x:c>
      <x:c r="T7" s="158" t="str">
        <x:v>The recency of the class makes absence of a dedicated resource unsurprising; this is not evidence that no sites exist.</x:v>
      </x:c>
    </x:row>
    <x:row r="8" ht="36" customHeight="1">
      <x:c r="A8" s="149" t="str">
        <x:v>PTMF069</x:v>
      </x:c>
      <x:c r="B8" s="150" t="str">
        <x:v>ATG12 conjugation</x:v>
      </x:c>
      <x:c r="C8" s="150" t="str">
        <x:v>Protein and peptide-tag conjugation</x:v>
      </x:c>
      <x:c r="D8" s="151" t="n">
        <x:v>1</x:v>
      </x:c>
      <x:c r="E8" s="151" t="n">
        <x:v>0</x:v>
      </x:c>
      <x:c r="F8" s="151" t="n">
        <x:v>0</x:v>
      </x:c>
      <x:c r="G8" s="151" t="n">
        <x:v>0</x:v>
      </x:c>
      <x:c r="H8" s="150" t="str">
        <x:v>none dedicated found</x:v>
      </x:c>
      <x:c r="I8" s="150" t="str">
        <x:v>targeted database, atlas, and primary-literature search</x:v>
      </x:c>
      <x:c r="J8" s="151" t="str">
        <x:v>NONE_FOUND</x:v>
      </x:c>
      <x:c r="K8" s="150" t="str">
        <x:v>No family-specific or narrow-class experimental residue-site database or atlas was found in the checked official and primary sources.</x:v>
      </x:c>
      <x:c r="L8" s="150" t="str">
        <x:v>no dedicated residue-site inventory</x:v>
      </x:c>
      <x:c r="M8" s="168" t="str"/>
      <x:c r="N8" s="150" t="str"/>
      <x:c r="O8" s="151" t="str"/>
      <x:c r="P8" s="150" t="str">
        <x:v>SEARCHED_NO_DEDICATED_EXPERIMENTAL_SITE_RESOURCE</x:v>
      </x:c>
      <x:c r="Q8" s="150" t="str">
        <x:v>ATG12 conjugation literature and targeted resource search; checked 2026-08-14</x:v>
      </x:c>
      <x:c r="R8" s="185" t="str">
        <x:v>https://pmc.ncbi.nlm.nih.gov/articles/PMC3596133/</x:v>
      </x:c>
      <x:c r="S8" s="150" t="str"/>
      <x:c r="T8" s="150" t="str">
        <x:v>Mechanistic/substrate literature exists, but no maintained family-specific residue-site atlas was found.</x:v>
      </x:c>
    </x:row>
    <x:row r="9" ht="36" customHeight="1">
      <x:c r="A9" s="157" t="str">
        <x:v>PTMF070</x:v>
      </x:c>
      <x:c r="B9" s="158" t="str">
        <x:v>SAMPylation</x:v>
      </x:c>
      <x:c r="C9" s="158" t="str">
        <x:v>Protein and peptide-tag conjugation</x:v>
      </x:c>
      <x:c r="D9" s="159" t="n">
        <x:v>1</x:v>
      </x:c>
      <x:c r="E9" s="159" t="n">
        <x:v>0</x:v>
      </x:c>
      <x:c r="F9" s="159" t="n">
        <x:v>0</x:v>
      </x:c>
      <x:c r="G9" s="159" t="n">
        <x:v>0</x:v>
      </x:c>
      <x:c r="H9" s="158" t="str">
        <x:v>none dedicated found</x:v>
      </x:c>
      <x:c r="I9" s="158" t="str">
        <x:v>targeted database, atlas, and primary-literature search</x:v>
      </x:c>
      <x:c r="J9" s="159" t="str">
        <x:v>NONE_FOUND</x:v>
      </x:c>
      <x:c r="K9" s="158" t="str">
        <x:v>No family-specific or narrow-class experimental residue-site database or atlas was found in the checked official and primary sources.</x:v>
      </x:c>
      <x:c r="L9" s="158" t="str">
        <x:v>experimental sites exist in individual studies; no database inventory</x:v>
      </x:c>
      <x:c r="M9" s="170" t="str"/>
      <x:c r="N9" s="158" t="str"/>
      <x:c r="O9" s="159" t="str"/>
      <x:c r="P9" s="158" t="str">
        <x:v>SEARCHED_NO_DEDICATED_EXPERIMENTAL_SITE_RESOURCE</x:v>
      </x:c>
      <x:c r="Q9" s="158" t="str">
        <x:v>SAMPylation primary studies and targeted database search; checked 2026-08-14</x:v>
      </x:c>
      <x:c r="R9" s="184" t="str">
        <x:v>https://pmc.ncbi.nlm.nih.gov/articles/PMC2872088/ | https://pmc.ncbi.nlm.nih.gov/articles/PMC5322722/</x:v>
      </x:c>
      <x:c r="S9" s="158" t="str">
        <x:v>Individual studies mapped 11 SAMP2 sites and 23 SAMP1 lysines on 11 proteins; these are study-specific results, not a maintained database denominator.</x:v>
      </x:c>
      <x:c r="T9" s="158" t="str">
        <x:v>Study counts were not entered as a database count.</x:v>
      </x:c>
    </x:row>
    <x:row r="10" ht="36" customHeight="1">
      <x:c r="A10" s="149" t="str">
        <x:v>PTMF071</x:v>
      </x:c>
      <x:c r="B10" s="150" t="str">
        <x:v>Glutathionylation</x:v>
      </x:c>
      <x:c r="C10" s="150" t="str">
        <x:v>Redox and reactive damage</x:v>
      </x:c>
      <x:c r="D10" s="151" t="n">
        <x:v>1</x:v>
      </x:c>
      <x:c r="E10" s="151" t="n">
        <x:v>1</x:v>
      </x:c>
      <x:c r="F10" s="151" t="n">
        <x:v>1</x:v>
      </x:c>
      <x:c r="G10" s="151" t="n">
        <x:v>1</x:v>
      </x:c>
      <x:c r="H10" s="150" t="str">
        <x:v>dbSNO 3.0</x:v>
      </x:c>
      <x:c r="I10" s="150" t="str">
        <x:v>current narrow multi-family experimental cysteine-modification site database</x:v>
      </x:c>
      <x:c r="J10" s="151" t="str">
        <x:v>ACTIVE_MAINTAINED</x:v>
      </x:c>
      <x:c r="K10" s="150" t="str">
        <x:v>Current official release or live source with substantive recent update or active curation.</x:v>
      </x:c>
      <x:c r="L10" s="150" t="str">
        <x:v>yes; experimentally supported cysteine PTM instances</x:v>
      </x:c>
      <x:c r="M10" s="168" t="n">
        <x:v>9148</x:v>
      </x:c>
      <x:c r="N10" s="150" t="str">
        <x:v>S-glutathionylation site instances</x:v>
      </x:c>
      <x:c r="O10" s="151" t="str">
        <x:v>dbSNO 3.0 statistics current 2025-06; accessed 2026-08-14</x:v>
      </x:c>
      <x:c r="P10" s="150" t="str">
        <x:v>ACTIVE_NARROW_MULTI_FAMILY_SITE_DB</x:v>
      </x:c>
      <x:c r="Q10" s="150" t="str">
        <x:v>dbSNO official statistics and current database paper; checked 2026-08-14</x:v>
      </x:c>
      <x:c r="R10" s="185" t="str">
        <x:v>https://biomics.lab.nycu.edu.tw/dbSNO/statistics.php</x:v>
      </x:c>
      <x:c r="S10" s="150" t="str">
        <x:v>dbGSH is a superseded 2014 predecessor with 2,257 sites; dbSNO 3.0 is the current source.</x:v>
      </x:c>
      <x:c r="T10" s="150" t="str">
        <x:v>Do not add predecessor and successor counts.</x:v>
      </x:c>
    </x:row>
    <x:row r="11" ht="36" customHeight="1">
      <x:c r="A11" s="157" t="str">
        <x:v>PTMF072</x:v>
      </x:c>
      <x:c r="B11" s="158" t="str">
        <x:v>Nitration</x:v>
      </x:c>
      <x:c r="C11" s="158" t="str">
        <x:v>Redox and reactive damage</x:v>
      </x:c>
      <x:c r="D11" s="159" t="n">
        <x:v>1</x:v>
      </x:c>
      <x:c r="E11" s="159" t="n">
        <x:v>0</x:v>
      </x:c>
      <x:c r="F11" s="159" t="n">
        <x:v>0</x:v>
      </x:c>
      <x:c r="G11" s="159" t="n">
        <x:v>0</x:v>
      </x:c>
      <x:c r="H11" s="158" t="str">
        <x:v>DeepNitro embedded experimental corpus</x:v>
      </x:c>
      <x:c r="I11" s="158" t="str">
        <x:v>live aging predictor with a compiled experimental nitration-site corpus; not a dedicated database</x:v>
      </x:c>
      <x:c r="J11" s="159" t="str">
        <x:v>LIVE_AGING</x:v>
      </x:c>
      <x:c r="K11" s="158" t="str">
        <x:v>Portal or resource responds, but its latest substantive release or embedded corpus is old or has no recent maintenance evidence.</x:v>
      </x:c>
      <x:c r="L11" s="158" t="str">
        <x:v>yes; compiled experimental sites used by the predictor</x:v>
      </x:c>
      <x:c r="M11" s="170" t="n">
        <x:v>1584</x:v>
      </x:c>
      <x:c r="N11" s="158" t="str">
        <x:v>compiled nitration sites: 1,518 Tyr and 66 Trp</x:v>
      </x:c>
      <x:c r="O11" s="159" t="str">
        <x:v>2018 publication; literature cutoff 2015</x:v>
      </x:c>
      <x:c r="P11" s="158" t="str">
        <x:v>LIVE_AGING_PREDICTOR_CORPUS_ONLY_NO_DEDICATED_SITE_DB</x:v>
      </x:c>
      <x:c r="Q11" s="158" t="str">
        <x:v>DeepNitro official help and primary paper plus targeted database search; checked 2026-08-14</x:v>
      </x:c>
      <x:c r="R11" s="184" t="str">
        <x:v>https://www.deepnitro.renlab.org/help.html | https://pmc.ncbi.nlm.nih.gov/articles/PMC6205083/</x:v>
      </x:c>
      <x:c r="S11" s="158" t="str"/>
      <x:c r="T11" s="158" t="str">
        <x:v>The exact corpus count is not evidence of a maintained current nitration database.</x:v>
      </x:c>
    </x:row>
    <x:row r="12" ht="36" customHeight="1">
      <x:c r="A12" s="149" t="str">
        <x:v>PTMF073</x:v>
      </x:c>
      <x:c r="B12" s="150" t="str">
        <x:v>Other oxidation</x:v>
      </x:c>
      <x:c r="C12" s="150" t="str">
        <x:v>Redox and reactive damage</x:v>
      </x:c>
      <x:c r="D12" s="151" t="n">
        <x:v>1</x:v>
      </x:c>
      <x:c r="E12" s="151" t="n">
        <x:v>1</x:v>
      </x:c>
      <x:c r="F12" s="151" t="n">
        <x:v>1</x:v>
      </x:c>
      <x:c r="G12" s="151" t="n">
        <x:v>0</x:v>
      </x:c>
      <x:c r="H12" s="150" t="str">
        <x:v>iCysMod</x:v>
      </x:c>
      <x:c r="I12" s="150" t="str">
        <x:v>live aging narrow multi-family experimental cysteine-modification site database; only partial coverage of this broad residual family</x:v>
      </x:c>
      <x:c r="J12" s="151" t="str">
        <x:v>LIVE_AGING</x:v>
      </x:c>
      <x:c r="K12" s="150" t="str">
        <x:v>Portal or resource responds, but its latest substantive release or embedded corpus is old or has no recent maintenance evidence.</x:v>
      </x:c>
      <x:c r="L12" s="150" t="str">
        <x:v>yes; partial experimental cysteine-modification coverage</x:v>
      </x:c>
      <x:c r="M12" s="168" t="str"/>
      <x:c r="N12" s="150" t="str">
        <x:v>family-specific count not reported; the publication reports 85,747 unique experimental cysteine-modification sites across all eight iCysMod classes</x:v>
      </x:c>
      <x:c r="O12" s="151" t="str">
        <x:v>2021 publication; portal live when checked 2026-08-14</x:v>
      </x:c>
      <x:c r="P12" s="150" t="str">
        <x:v>LIVE_AGING_PARTIAL_NARROW_MULTI_FAMILY_SITE_DB</x:v>
      </x:c>
      <x:c r="Q12" s="150" t="str">
        <x:v>iCysMod official paper/portal and current CysDBase paper; checked 2026-08-14</x:v>
      </x:c>
      <x:c r="R12" s="185" t="str">
        <x:v>https://academic.oup.com/bib/article/22/5/bbaa400/6066620 | https://pmc.ncbi.nlm.nih.gov/articles/PMC13161762/</x:v>
      </x:c>
      <x:c r="S12" s="150" t="str">
        <x:v>CysDBase 2026 contains 11,456,639 cysteine entries across seven types, but much of that scale reflects UniProt annotation transfer, inference, or prediction rather than a strict experimental-site denominator.</x:v>
      </x:c>
      <x:c r="T12" s="150" t="str">
        <x:v>No family-specific exact count was inferred from the all-class total.</x:v>
      </x:c>
    </x:row>
    <x:row r="13" ht="36" customHeight="1">
      <x:c r="A13" s="157" t="str">
        <x:v>PTMF074</x:v>
      </x:c>
      <x:c r="B13" s="158" t="str">
        <x:v>Pyrrolylation</x:v>
      </x:c>
      <x:c r="C13" s="158" t="str">
        <x:v>Redox and reactive damage</x:v>
      </x:c>
      <x:c r="D13" s="159" t="n">
        <x:v>1</x:v>
      </x:c>
      <x:c r="E13" s="159" t="n">
        <x:v>0</x:v>
      </x:c>
      <x:c r="F13" s="159" t="n">
        <x:v>0</x:v>
      </x:c>
      <x:c r="G13" s="159" t="n">
        <x:v>0</x:v>
      </x:c>
      <x:c r="H13" s="158" t="str">
        <x:v>dbPTM 2025 general integrator</x:v>
      </x:c>
      <x:c r="I13" s="158" t="str">
        <x:v>current general multi-PTM integrator</x:v>
      </x:c>
      <x:c r="J13" s="159" t="str">
        <x:v>GENERAL_INTEGRATOR_ONLY</x:v>
      </x:c>
      <x:c r="K13" s="158" t="str">
        <x:v>Exact family-level residue evidence was found only in a general multi-PTM integrator, not a family-specific experimental site database.</x:v>
      </x:c>
      <x:c r="L13" s="158" t="str">
        <x:v>yes; general-integrator residue record</x:v>
      </x:c>
      <x:c r="M13" s="170" t="n">
        <x:v>1</x:v>
      </x:c>
      <x:c r="N13" s="158" t="str">
        <x:v>experimental pyrrolylation site in the fixed dbPTM Release 2024 statistics table</x:v>
      </x:c>
      <x:c r="O13" s="159" t="str">
        <x:v>dbPTM Release 2024; accessed 2026-08-14</x:v>
      </x:c>
      <x:c r="P13" s="158" t="str">
        <x:v>GENERAL_INTEGRATOR_ONLY_NO_DEDICATED_DB</x:v>
      </x:c>
      <x:c r="Q13" s="158" t="str">
        <x:v>dbPTM official statistics and targeted dedicated-resource search; checked 2026-08-14</x:v>
      </x:c>
      <x:c r="R13" s="184" t="str">
        <x:v>https://biomics.lab.nycu.edu.tw/dbPTM/statistics.php</x:v>
      </x:c>
      <x:c r="S13" s="158" t="str"/>
      <x:c r="T13" s="158" t="str">
        <x:v>dbPTM also reports 471 putative sites; only the experimental count is recorded.</x:v>
      </x:c>
    </x:row>
    <x:row r="14" ht="36" customHeight="1">
      <x:c r="A14" s="149" t="str">
        <x:v>PTMF075</x:v>
      </x:c>
      <x:c r="B14" s="150" t="str">
        <x:v>S-cyanation</x:v>
      </x:c>
      <x:c r="C14" s="150" t="str">
        <x:v>Redox and reactive damage</x:v>
      </x:c>
      <x:c r="D14" s="151" t="n">
        <x:v>1</x:v>
      </x:c>
      <x:c r="E14" s="151" t="n">
        <x:v>0</x:v>
      </x:c>
      <x:c r="F14" s="151" t="n">
        <x:v>0</x:v>
      </x:c>
      <x:c r="G14" s="151" t="n">
        <x:v>0</x:v>
      </x:c>
      <x:c r="H14" s="150" t="str">
        <x:v>dbPTM 2025 general integrator</x:v>
      </x:c>
      <x:c r="I14" s="150" t="str">
        <x:v>current general multi-PTM integrator</x:v>
      </x:c>
      <x:c r="J14" s="151" t="str">
        <x:v>GENERAL_INTEGRATOR_ONLY</x:v>
      </x:c>
      <x:c r="K14" s="150" t="str">
        <x:v>Exact family-level residue evidence was found only in a general multi-PTM integrator, not a family-specific experimental site database.</x:v>
      </x:c>
      <x:c r="L14" s="150" t="str">
        <x:v>yes; general-integrator residue record</x:v>
      </x:c>
      <x:c r="M14" s="168" t="n">
        <x:v>1</x:v>
      </x:c>
      <x:c r="N14" s="150" t="str">
        <x:v>experimental S-cyanation site in the fixed dbPTM Release 2024 statistics table</x:v>
      </x:c>
      <x:c r="O14" s="151" t="str">
        <x:v>dbPTM Release 2024; accessed 2026-08-14</x:v>
      </x:c>
      <x:c r="P14" s="150" t="str">
        <x:v>GENERAL_INTEGRATOR_ONLY_NO_DEDICATED_DB</x:v>
      </x:c>
      <x:c r="Q14" s="150" t="str">
        <x:v>dbPTM official statistics and targeted dedicated-resource search; checked 2026-08-14</x:v>
      </x:c>
      <x:c r="R14" s="185" t="str">
        <x:v>https://biomics.lab.nycu.edu.tw/dbPTM/statistics.php</x:v>
      </x:c>
      <x:c r="S14" s="150" t="str"/>
      <x:c r="T14" s="150" t="str">
        <x:v>dbPTM also reports five putative sites; only the experimental count is recorded.</x:v>
      </x:c>
    </x:row>
    <x:row r="15" ht="36" customHeight="1">
      <x:c r="A15" s="157" t="str">
        <x:v>PTMF076</x:v>
      </x:c>
      <x:c r="B15" s="158" t="str">
        <x:v>S-cysteinylation</x:v>
      </x:c>
      <x:c r="C15" s="158" t="str">
        <x:v>Redox and reactive damage</x:v>
      </x:c>
      <x:c r="D15" s="159" t="n">
        <x:v>1</x:v>
      </x:c>
      <x:c r="E15" s="159" t="n">
        <x:v>0</x:v>
      </x:c>
      <x:c r="F15" s="159" t="n">
        <x:v>0</x:v>
      </x:c>
      <x:c r="G15" s="159" t="n">
        <x:v>0</x:v>
      </x:c>
      <x:c r="H15" s="158" t="str">
        <x:v>dbPTM 2025 general integrator</x:v>
      </x:c>
      <x:c r="I15" s="158" t="str">
        <x:v>current general multi-PTM integrator</x:v>
      </x:c>
      <x:c r="J15" s="159" t="str">
        <x:v>GENERAL_INTEGRATOR_ONLY</x:v>
      </x:c>
      <x:c r="K15" s="158" t="str">
        <x:v>Exact family-level residue evidence was found only in a general multi-PTM integrator, not a family-specific experimental site database.</x:v>
      </x:c>
      <x:c r="L15" s="158" t="str">
        <x:v>yes; general-integrator residue records</x:v>
      </x:c>
      <x:c r="M15" s="170" t="n">
        <x:v>2</x:v>
      </x:c>
      <x:c r="N15" s="158" t="str">
        <x:v>experimental S-cysteinylation sites in the fixed dbPTM Release 2024 statistics table</x:v>
      </x:c>
      <x:c r="O15" s="159" t="str">
        <x:v>dbPTM Release 2024; accessed 2026-08-14</x:v>
      </x:c>
      <x:c r="P15" s="158" t="str">
        <x:v>GENERAL_INTEGRATOR_ONLY_NO_DEDICATED_DB</x:v>
      </x:c>
      <x:c r="Q15" s="158" t="str">
        <x:v>dbPTM official statistics and targeted dedicated-resource search; checked 2026-08-14</x:v>
      </x:c>
      <x:c r="R15" s="184" t="str">
        <x:v>https://biomics.lab.nycu.edu.tw/dbPTM/statistics.php</x:v>
      </x:c>
      <x:c r="S15" s="158" t="str"/>
      <x:c r="T15" s="158" t="str">
        <x:v>dbPTM also reports 13 putative sites; only the experimental count is recorded.</x:v>
      </x:c>
    </x:row>
    <x:row r="16" ht="36" customHeight="1">
      <x:c r="A16" s="149" t="str">
        <x:v>PTMF078</x:v>
      </x:c>
      <x:c r="B16" s="150" t="str">
        <x:v>S-selanylation</x:v>
      </x:c>
      <x:c r="C16" s="150" t="str">
        <x:v>Redox and reactive damage</x:v>
      </x:c>
      <x:c r="D16" s="151" t="n">
        <x:v>1</x:v>
      </x:c>
      <x:c r="E16" s="151" t="n">
        <x:v>0</x:v>
      </x:c>
      <x:c r="F16" s="151" t="n">
        <x:v>0</x:v>
      </x:c>
      <x:c r="G16" s="151" t="n">
        <x:v>0</x:v>
      </x:c>
      <x:c r="H16" s="150" t="str">
        <x:v>dbPTM 2025 general integrator</x:v>
      </x:c>
      <x:c r="I16" s="150" t="str">
        <x:v>current general multi-PTM integrator</x:v>
      </x:c>
      <x:c r="J16" s="151" t="str">
        <x:v>GENERAL_INTEGRATOR_ONLY</x:v>
      </x:c>
      <x:c r="K16" s="150" t="str">
        <x:v>Exact family-level residue evidence was found only in a general multi-PTM integrator, not a family-specific experimental site database.</x:v>
      </x:c>
      <x:c r="L16" s="150" t="str">
        <x:v>no experimental records in the current table</x:v>
      </x:c>
      <x:c r="M16" s="168" t="n">
        <x:v>0</x:v>
      </x:c>
      <x:c r="N16" s="150" t="str">
        <x:v>experimental S-selanylation sites in the fixed dbPTM Release 2024 statistics table</x:v>
      </x:c>
      <x:c r="O16" s="151" t="str">
        <x:v>dbPTM Release 2024; accessed 2026-08-14</x:v>
      </x:c>
      <x:c r="P16" s="150" t="str">
        <x:v>GENERAL_INTEGRATOR_ONLY_ZERO_EXPERIMENTAL_NO_DEDICATED_DB</x:v>
      </x:c>
      <x:c r="Q16" s="150" t="str">
        <x:v>dbPTM official statistics and targeted dedicated-resource search; checked 2026-08-14</x:v>
      </x:c>
      <x:c r="R16" s="185" t="str">
        <x:v>https://biomics.lab.nycu.edu.tw/dbPTM/statistics.php</x:v>
      </x:c>
      <x:c r="S16" s="150" t="str">
        <x:v>dbPTM reports four putative sites.</x:v>
      </x:c>
      <x:c r="T16" s="150" t="str">
        <x:v>Zero is the table's exact experimental count, not proof that the chemistry never occurs.</x:v>
      </x:c>
    </x:row>
    <x:row r="17" ht="36" customHeight="1">
      <x:c r="A17" s="157" t="str">
        <x:v>PTMF079</x:v>
      </x:c>
      <x:c r="B17" s="158" t="str">
        <x:v>Sulfhydration and persulfidation</x:v>
      </x:c>
      <x:c r="C17" s="158" t="str">
        <x:v>Redox and reactive damage</x:v>
      </x:c>
      <x:c r="D17" s="159" t="n">
        <x:v>1</x:v>
      </x:c>
      <x:c r="E17" s="159" t="n">
        <x:v>1</x:v>
      </x:c>
      <x:c r="F17" s="159" t="n">
        <x:v>1</x:v>
      </x:c>
      <x:c r="G17" s="159" t="n">
        <x:v>1</x:v>
      </x:c>
      <x:c r="H17" s="158" t="str">
        <x:v>dbSNO 3.0</x:v>
      </x:c>
      <x:c r="I17" s="158" t="str">
        <x:v>current narrow multi-family experimental cysteine-modification site database</x:v>
      </x:c>
      <x:c r="J17" s="159" t="str">
        <x:v>ACTIVE_MAINTAINED</x:v>
      </x:c>
      <x:c r="K17" s="158" t="str">
        <x:v>Current official release or live source with substantive recent update or active curation.</x:v>
      </x:c>
      <x:c r="L17" s="158" t="str">
        <x:v>yes; experimentally supported cysteine PTM instances</x:v>
      </x:c>
      <x:c r="M17" s="170" t="n">
        <x:v>2710</x:v>
      </x:c>
      <x:c r="N17" s="158" t="str">
        <x:v>S-sulfhydration/persulfidation site instances</x:v>
      </x:c>
      <x:c r="O17" s="159" t="str">
        <x:v>dbSNO 3.0 statistics current 2025-06; accessed 2026-08-14</x:v>
      </x:c>
      <x:c r="P17" s="158" t="str">
        <x:v>ACTIVE_NARROW_MULTI_FAMILY_SITE_DB</x:v>
      </x:c>
      <x:c r="Q17" s="158" t="str">
        <x:v>dbSNO official statistics and current database paper; checked 2026-08-14</x:v>
      </x:c>
      <x:c r="R17" s="184" t="str">
        <x:v>https://biomics.lab.nycu.edu.tw/dbSNO/statistics.php</x:v>
      </x:c>
      <x:c r="S17" s="158" t="str"/>
      <x:c r="T17" s="158" t="str">
        <x:v>The database label is S-sulfhydration; the family ledger treats sulfhydration/persulfidation together.</x:v>
      </x:c>
    </x:row>
    <x:row r="18" ht="36" customHeight="1">
      <x:c r="A18" s="149" t="str">
        <x:v>PTMF080</x:v>
      </x:c>
      <x:c r="B18" s="150" t="str">
        <x:v>Sulfoxidation</x:v>
      </x:c>
      <x:c r="C18" s="150" t="str">
        <x:v>Redox and reactive damage</x:v>
      </x:c>
      <x:c r="D18" s="151" t="n">
        <x:v>1</x:v>
      </x:c>
      <x:c r="E18" s="151" t="n">
        <x:v>1</x:v>
      </x:c>
      <x:c r="F18" s="151" t="n">
        <x:v>1</x:v>
      </x:c>
      <x:c r="G18" s="151" t="n">
        <x:v>1</x:v>
      </x:c>
      <x:c r="H18" s="150" t="str">
        <x:v>MetOSite</x:v>
      </x:c>
      <x:c r="I18" s="150" t="str">
        <x:v>current dedicated experimental methionine-sulfoxidation site database</x:v>
      </x:c>
      <x:c r="J18" s="151" t="str">
        <x:v>ACTIVE_MAINTAINED</x:v>
      </x:c>
      <x:c r="K18" s="150" t="str">
        <x:v>Current official release or live source with substantive recent update or active curation.</x:v>
      </x:c>
      <x:c r="L18" s="150" t="str">
        <x:v>yes; experimentally confirmed methionine sulfoxide sites</x:v>
      </x:c>
      <x:c r="M18" s="168" t="n">
        <x:v>8406</x:v>
      </x:c>
      <x:c r="N18" s="150" t="str">
        <x:v>experimentally confirmed methionine sulfoxide sites</x:v>
      </x:c>
      <x:c r="O18" s="151" t="str">
        <x:v>official API summary 2025-06-30</x:v>
      </x:c>
      <x:c r="P18" s="150" t="str">
        <x:v>ACTIVE_DEDICATED_SITE_DB</x:v>
      </x:c>
      <x:c r="Q18" s="150" t="str">
        <x:v>MetOSite official API and database site; checked 2026-08-14</x:v>
      </x:c>
      <x:c r="R18" s="185" t="str">
        <x:v>https://metosite.uma.es/api/summaries/count</x:v>
      </x:c>
      <x:c r="S18" s="150" t="str">
        <x:v>The same API summary reports 4,232 proteins and 34 species.</x:v>
      </x:c>
      <x:c r="T18" s="150" t="str">
        <x:v>The site count is the correct unit for comparison.</x:v>
      </x:c>
    </x:row>
    <x:row r="19" ht="36" customHeight="1">
      <x:c r="A19" s="157" t="str">
        <x:v>PTMF081</x:v>
      </x:c>
      <x:c r="B19" s="158" t="str">
        <x:v>Carbonylation</x:v>
      </x:c>
      <x:c r="C19" s="158" t="str">
        <x:v>Redox and reactive damage</x:v>
      </x:c>
      <x:c r="D19" s="159" t="n">
        <x:v>1</x:v>
      </x:c>
      <x:c r="E19" s="159" t="n">
        <x:v>1</x:v>
      </x:c>
      <x:c r="F19" s="159" t="n">
        <x:v>1</x:v>
      </x:c>
      <x:c r="G19" s="159" t="n">
        <x:v>0</x:v>
      </x:c>
      <x:c r="H19" s="158" t="str">
        <x:v>CarbonylDB</x:v>
      </x:c>
      <x:c r="I19" s="158" t="str">
        <x:v>live aging dedicated experimental carbonylation-site database</x:v>
      </x:c>
      <x:c r="J19" s="159" t="str">
        <x:v>LIVE_AGING</x:v>
      </x:c>
      <x:c r="K19" s="158" t="str">
        <x:v>Portal or resource responds, but its latest substantive release or embedded corpus is old or has no recent maintenance evidence.</x:v>
      </x:c>
      <x:c r="L19" s="158" t="str">
        <x:v>yes; experimentally confirmed carbonylation sites</x:v>
      </x:c>
      <x:c r="M19" s="170" t="n">
        <x:v>3781</x:v>
      </x:c>
      <x:c r="N19" s="158" t="str">
        <x:v>experimentally confirmed carbonylation sites</x:v>
      </x:c>
      <x:c r="O19" s="159" t="str">
        <x:v>2018-06-26 database snapshot</x:v>
      </x:c>
      <x:c r="P19" s="158" t="str">
        <x:v>LIVE_AGING_DEDICATED_SITE_DB</x:v>
      </x:c>
      <x:c r="Q19" s="158" t="str">
        <x:v>CarbonylDB portal and primary database paper; checked 2026-08-14</x:v>
      </x:c>
      <x:c r="R19" s="184" t="str">
        <x:v>https://pmc.ncbi.nlm.nih.gov/articles/PMC6041944/</x:v>
      </x:c>
      <x:c r="S19" s="158" t="str">
        <x:v>The snapshot also reports 1,495 proteins from 21 species.</x:v>
      </x:c>
      <x:c r="T19" s="158" t="str">
        <x:v>Portal availability does not imply recent content maintenance.</x:v>
      </x:c>
    </x:row>
    <x:row r="20" ht="36" customHeight="1">
      <x:c r="A20" s="149" t="str">
        <x:v>PTMF082</x:v>
      </x:c>
      <x:c r="B20" s="150" t="str">
        <x:v>Succination</x:v>
      </x:c>
      <x:c r="C20" s="150" t="str">
        <x:v>Redox and reactive damage</x:v>
      </x:c>
      <x:c r="D20" s="151" t="n">
        <x:v>1</x:v>
      </x:c>
      <x:c r="E20" s="151" t="n">
        <x:v>1</x:v>
      </x:c>
      <x:c r="F20" s="151" t="n">
        <x:v>0</x:v>
      </x:c>
      <x:c r="G20" s="151" t="n">
        <x:v>0</x:v>
      </x:c>
      <x:c r="H20" s="150" t="str">
        <x:v>ProteomeScout current general integrator; CysModDB historical unavailable</x:v>
      </x:c>
      <x:c r="I20" s="150" t="str">
        <x:v>current general multi-PTM integrator plus historical narrow cysteine-modification database</x:v>
      </x:c>
      <x:c r="J20" s="151" t="str">
        <x:v>GENERAL_INTEGRATOR_ONLY</x:v>
      </x:c>
      <x:c r="K20" s="150" t="str">
        <x:v>Exact family-level residue evidence was found only in a general multi-PTM integrator, not a family-specific experimental site database.</x:v>
      </x:c>
      <x:c r="L20" s="150" t="str">
        <x:v>yes; current general-integrator residue records</x:v>
      </x:c>
      <x:c r="M20" s="168" t="n">
        <x:v>67</x:v>
      </x:c>
      <x:c r="N20" s="150" t="str">
        <x:v>unique protein-position records across S-(2,3-dicarboxypropyl)cysteine and S-(2-succinyl)cysteine labels, all species</x:v>
      </x:c>
      <x:c r="O20" s="151" t="str">
        <x:v>ProteomeScout TSV Last-Modified 2026-06-02</x:v>
      </x:c>
      <x:c r="P20" s="150" t="str">
        <x:v>HISTORICAL_NARROW_DB_UNAVAILABLE_CURRENT_COUNT_GENERAL_INTEGRATOR_ONLY</x:v>
      </x:c>
      <x:c r="Q20" s="150" t="str">
        <x:v>current ProteomeScout official download, CysModDB primary paper/status, and targeted search; checked 2026-08-14</x:v>
      </x:c>
      <x:c r="R20" s="185" t="str">
        <x:v>https://proteomescout.research.virginia.edu/downloads</x:v>
      </x:c>
      <x:c r="S20" s="150" t="str">
        <x:v>ProteomeScout contains 14 and 59 label-level records; six sites carry both labels, yielding 67 unique protein-position records. CysModDB historically covered succination but is unavailable and did not expose a recoverable family count.</x:v>
      </x:c>
      <x:c r="T20" s="150" t="str">
        <x:v>The 67 count is reproducibly label-normalized and deduplicated; it is not a dedicated-database count.</x:v>
      </x:c>
    </x:row>
    <x:row r="21" ht="36" customHeight="1">
      <x:c r="A21" s="157" t="str">
        <x:v>PTMF083</x:v>
      </x:c>
      <x:c r="B21" s="158" t="str">
        <x:v>Lipoxidation and electrophile adduction</x:v>
      </x:c>
      <x:c r="C21" s="158" t="str">
        <x:v>Redox and reactive damage</x:v>
      </x:c>
      <x:c r="D21" s="159" t="n">
        <x:v>1</x:v>
      </x:c>
      <x:c r="E21" s="159" t="n">
        <x:v>1</x:v>
      </x:c>
      <x:c r="F21" s="159" t="n">
        <x:v>0</x:v>
      </x:c>
      <x:c r="G21" s="159" t="n">
        <x:v>0</x:v>
      </x:c>
      <x:c r="H21" s="158" t="str">
        <x:v>ProteomeScout current general integrator; CysModDB historical unavailable</x:v>
      </x:c>
      <x:c r="I21" s="158" t="str">
        <x:v>current general multi-PTM integrator with a narrow HNE-Cys slice plus historical unavailable cysteine-modification database</x:v>
      </x:c>
      <x:c r="J21" s="159" t="str">
        <x:v>GENERAL_INTEGRATOR_ONLY</x:v>
      </x:c>
      <x:c r="K21" s="158" t="str">
        <x:v>Exact family-level residue evidence was found only in a general multi-PTM integrator, not a family-specific experimental site database.</x:v>
      </x:c>
      <x:c r="L21" s="158" t="str">
        <x:v>yes; partial current general-integrator residue records</x:v>
      </x:c>
      <x:c r="M21" s="170" t="n">
        <x:v>3</x:v>
      </x:c>
      <x:c r="N21" s="158" t="str">
        <x:v>4-hydroxynonenal-conjugated cysteine protein-position records, all species; narrow subtype only</x:v>
      </x:c>
      <x:c r="O21" s="159" t="str">
        <x:v>ProteomeScout TSV Last-Modified 2026-06-02</x:v>
      </x:c>
      <x:c r="P21" s="158" t="str">
        <x:v>HISTORICAL_NARROW_DB_UNAVAILABLE_CURRENT_PARTIAL_COUNT_GENERAL_INTEGRATOR_ONLY</x:v>
      </x:c>
      <x:c r="Q21" s="158" t="str">
        <x:v>current ProteomeScout official download, CysModDB primary paper/status, and lipoxidation review; checked 2026-08-14</x:v>
      </x:c>
      <x:c r="R21" s="184" t="str">
        <x:v>https://proteomescout.research.virginia.edu/downloads | https://pmc.ncbi.nlm.nih.gov/articles/PMC7919664/</x:v>
      </x:c>
      <x:c r="S21" s="158" t="str">
        <x:v>CysModDB historically covered electrophile-related cysteine modifications but is unavailable; its 70,536 all-class total cannot be assigned to this family.</x:v>
      </x:c>
      <x:c r="T21" s="158" t="str">
        <x:v>The exact count is only the HNE-Cys subtype visible under the current ProteomeScout terminology, not a full-family denominator.</x:v>
      </x:c>
    </x:row>
    <x:row r="22" ht="36" customHeight="1">
      <x:c r="A22" s="149" t="str">
        <x:v>PTMF084</x:v>
      </x:c>
      <x:c r="B22" s="150" t="str">
        <x:v>Chlorination</x:v>
      </x:c>
      <x:c r="C22" s="150" t="str">
        <x:v>Redox and reactive damage</x:v>
      </x:c>
      <x:c r="D22" s="151" t="n">
        <x:v>1</x:v>
      </x:c>
      <x:c r="E22" s="151" t="n">
        <x:v>0</x:v>
      </x:c>
      <x:c r="F22" s="151" t="n">
        <x:v>0</x:v>
      </x:c>
      <x:c r="G22" s="151" t="n">
        <x:v>0</x:v>
      </x:c>
      <x:c r="H22" s="150" t="str">
        <x:v>none dedicated found</x:v>
      </x:c>
      <x:c r="I22" s="150" t="str">
        <x:v>targeted database, atlas, controlled-vocabulary, and primary-literature search</x:v>
      </x:c>
      <x:c r="J22" s="151" t="str">
        <x:v>NONE_FOUND</x:v>
      </x:c>
      <x:c r="K22" s="150" t="str">
        <x:v>No family-specific or narrow-class experimental residue-site database or atlas was found in the checked official and primary sources.</x:v>
      </x:c>
      <x:c r="L22" s="150" t="str">
        <x:v>no dedicated residue-site inventory</x:v>
      </x:c>
      <x:c r="M22" s="168" t="str"/>
      <x:c r="N22" s="150" t="str"/>
      <x:c r="O22" s="151" t="str"/>
      <x:c r="P22" s="150" t="str">
        <x:v>SEARCHED_NO_DEDICATED_EXPERIMENTAL_SITE_RESOURCE</x:v>
      </x:c>
      <x:c r="Q22" s="150" t="str">
        <x:v>PTM databases, PSI-MOD terminology and chlorination literature; checked 2026-08-14</x:v>
      </x:c>
      <x:c r="R22" s="185" t="str">
        <x:v>https://www.ebi.ac.uk/ols4/ontologies/mod</x:v>
      </x:c>
      <x:c r="S22" s="150" t="str"/>
      <x:c r="T22" s="150" t="str">
        <x:v>Controlled-vocabulary recognition was not treated as a site database.</x:v>
      </x:c>
    </x:row>
    <x:row r="23" ht="36" customHeight="1">
      <x:c r="A23" s="157" t="str">
        <x:v>PTMF085</x:v>
      </x:c>
      <x:c r="B23" s="158" t="str">
        <x:v>Bromination</x:v>
      </x:c>
      <x:c r="C23" s="158" t="str">
        <x:v>Redox and reactive damage</x:v>
      </x:c>
      <x:c r="D23" s="159" t="n">
        <x:v>1</x:v>
      </x:c>
      <x:c r="E23" s="159" t="n">
        <x:v>0</x:v>
      </x:c>
      <x:c r="F23" s="159" t="n">
        <x:v>0</x:v>
      </x:c>
      <x:c r="G23" s="159" t="n">
        <x:v>0</x:v>
      </x:c>
      <x:c r="H23" s="158" t="str">
        <x:v>ProteomeScout current general integrator</x:v>
      </x:c>
      <x:c r="I23" s="158" t="str">
        <x:v>current general multi-PTM integrator</x:v>
      </x:c>
      <x:c r="J23" s="159" t="str">
        <x:v>GENERAL_INTEGRATOR_ONLY</x:v>
      </x:c>
      <x:c r="K23" s="158" t="str">
        <x:v>Exact family-level residue evidence was found only in a general multi-PTM integrator, not a family-specific experimental site database.</x:v>
      </x:c>
      <x:c r="L23" s="158" t="str">
        <x:v>yes; general-integrator residue records</x:v>
      </x:c>
      <x:c r="M23" s="170" t="n">
        <x:v>3</x:v>
      </x:c>
      <x:c r="N23" s="158" t="str">
        <x:v>protein-position records: two 3'-bromotyrosine and one 6'-bromotryptophan, all species</x:v>
      </x:c>
      <x:c r="O23" s="159" t="str">
        <x:v>ProteomeScout TSV Last-Modified 2026-06-02</x:v>
      </x:c>
      <x:c r="P23" s="158" t="str">
        <x:v>GENERAL_INTEGRATOR_ONLY_NO_DEDICATED_DB</x:v>
      </x:c>
      <x:c r="Q23" s="158" t="str">
        <x:v>ProteomeScout official download and targeted dedicated-resource search; checked 2026-08-14</x:v>
      </x:c>
      <x:c r="R23" s="184" t="str">
        <x:v>https://proteomescout.research.virginia.edu/downloads</x:v>
      </x:c>
      <x:c r="S23" s="158" t="str"/>
      <x:c r="T23" s="158" t="str">
        <x:v>Labels were counted separately and then summed because the protein-position records do not overlap.</x:v>
      </x:c>
    </x:row>
    <x:row r="24" ht="36" customHeight="1">
      <x:c r="A24" s="149" t="str">
        <x:v>PTMF086</x:v>
      </x:c>
      <x:c r="B24" s="150" t="str">
        <x:v>Homocysteinylation</x:v>
      </x:c>
      <x:c r="C24" s="150" t="str">
        <x:v>Redox and reactive damage</x:v>
      </x:c>
      <x:c r="D24" s="151" t="n">
        <x:v>1</x:v>
      </x:c>
      <x:c r="E24" s="151" t="n">
        <x:v>0</x:v>
      </x:c>
      <x:c r="F24" s="151" t="n">
        <x:v>0</x:v>
      </x:c>
      <x:c r="G24" s="151" t="n">
        <x:v>0</x:v>
      </x:c>
      <x:c r="H24" s="150" t="str">
        <x:v>none dedicated found</x:v>
      </x:c>
      <x:c r="I24" s="150" t="str">
        <x:v>targeted database, atlas, and review search</x:v>
      </x:c>
      <x:c r="J24" s="151" t="str">
        <x:v>NONE_FOUND</x:v>
      </x:c>
      <x:c r="K24" s="150" t="str">
        <x:v>No family-specific or narrow-class experimental residue-site database or atlas was found in the checked official and primary sources.</x:v>
      </x:c>
      <x:c r="L24" s="150" t="str">
        <x:v>no dedicated residue-site inventory</x:v>
      </x:c>
      <x:c r="M24" s="168" t="str"/>
      <x:c r="N24" s="150" t="str"/>
      <x:c r="O24" s="151" t="str"/>
      <x:c r="P24" s="150" t="str">
        <x:v>SEARCHED_NO_DEDICATED_EXPERIMENTAL_SITE_RESOURCE</x:v>
      </x:c>
      <x:c r="Q24" s="150" t="str">
        <x:v>homocysteinylation reviews and PTM-database search; checked 2026-08-14</x:v>
      </x:c>
      <x:c r="R24" s="185" t="str">
        <x:v>https://pmc.ncbi.nlm.nih.gov/articles/PMC9881069/</x:v>
      </x:c>
      <x:c r="S24" s="150" t="str"/>
      <x:c r="T24" s="150" t="str">
        <x:v>Mechanistic and biomarker literature exists, but no maintained residue-site database or atlas was found.</x:v>
      </x:c>
    </x:row>
    <x:row r="25" ht="36" customHeight="1">
      <x:c r="A25" s="157" t="str">
        <x:v>PTMF089</x:v>
      </x:c>
      <x:c r="B25" s="158" t="str">
        <x:v>Deamination</x:v>
      </x:c>
      <x:c r="C25" s="158" t="str">
        <x:v>Residue and terminal remodeling</x:v>
      </x:c>
      <x:c r="D25" s="159" t="n">
        <x:v>1</x:v>
      </x:c>
      <x:c r="E25" s="159" t="n">
        <x:v>0</x:v>
      </x:c>
      <x:c r="F25" s="159" t="n">
        <x:v>0</x:v>
      </x:c>
      <x:c r="G25" s="159" t="n">
        <x:v>0</x:v>
      </x:c>
      <x:c r="H25" s="158" t="str">
        <x:v>dbPTM 2025 general integrator</x:v>
      </x:c>
      <x:c r="I25" s="158" t="str">
        <x:v>current general multi-PTM integrator</x:v>
      </x:c>
      <x:c r="J25" s="159" t="str">
        <x:v>GENERAL_INTEGRATOR_ONLY</x:v>
      </x:c>
      <x:c r="K25" s="158" t="str">
        <x:v>Exact family-level residue evidence was found only in a general multi-PTM integrator, not a family-specific experimental site database.</x:v>
      </x:c>
      <x:c r="L25" s="158" t="str">
        <x:v>yes; general-integrator residue records</x:v>
      </x:c>
      <x:c r="M25" s="170" t="n">
        <x:v>42</x:v>
      </x:c>
      <x:c r="N25" s="158" t="str">
        <x:v>experimental deamination sites in the fixed dbPTM Release 2024 statistics table</x:v>
      </x:c>
      <x:c r="O25" s="159" t="str">
        <x:v>dbPTM Release 2024; accessed 2026-08-14</x:v>
      </x:c>
      <x:c r="P25" s="158" t="str">
        <x:v>GENERAL_INTEGRATOR_ONLY_NO_DEDICATED_DB</x:v>
      </x:c>
      <x:c r="Q25" s="158" t="str">
        <x:v>dbPTM official statistics and targeted dedicated-resource search; checked 2026-08-14</x:v>
      </x:c>
      <x:c r="R25" s="184" t="str">
        <x:v>https://biomics.lab.nycu.edu.tw/dbPTM/statistics.php</x:v>
      </x:c>
      <x:c r="S25" s="158" t="str"/>
      <x:c r="T25" s="158" t="str">
        <x:v>Putative records were not mixed into the experimental count.</x:v>
      </x:c>
    </x:row>
    <x:row r="26" ht="36" customHeight="1">
      <x:c r="A26" s="149" t="str">
        <x:v>PTMF090</x:v>
      </x:c>
      <x:c r="B26" s="150" t="str">
        <x:v>Decarboxylation</x:v>
      </x:c>
      <x:c r="C26" s="150" t="str">
        <x:v>Residue and terminal remodeling</x:v>
      </x:c>
      <x:c r="D26" s="151" t="n">
        <x:v>1</x:v>
      </x:c>
      <x:c r="E26" s="151" t="n">
        <x:v>0</x:v>
      </x:c>
      <x:c r="F26" s="151" t="n">
        <x:v>0</x:v>
      </x:c>
      <x:c r="G26" s="151" t="n">
        <x:v>0</x:v>
      </x:c>
      <x:c r="H26" s="150" t="str">
        <x:v>dbPTM 2025 general integrator</x:v>
      </x:c>
      <x:c r="I26" s="150" t="str">
        <x:v>current general multi-PTM integrator</x:v>
      </x:c>
      <x:c r="J26" s="151" t="str">
        <x:v>GENERAL_INTEGRATOR_ONLY</x:v>
      </x:c>
      <x:c r="K26" s="150" t="str">
        <x:v>Exact family-level residue evidence was found only in a general multi-PTM integrator, not a family-specific experimental site database.</x:v>
      </x:c>
      <x:c r="L26" s="150" t="str">
        <x:v>yes; general-integrator residue records</x:v>
      </x:c>
      <x:c r="M26" s="168" t="n">
        <x:v>2</x:v>
      </x:c>
      <x:c r="N26" s="150" t="str">
        <x:v>experimental decarboxylation sites in the fixed dbPTM Release 2024 statistics table</x:v>
      </x:c>
      <x:c r="O26" s="151" t="str">
        <x:v>dbPTM Release 2024; accessed 2026-08-14</x:v>
      </x:c>
      <x:c r="P26" s="150" t="str">
        <x:v>GENERAL_INTEGRATOR_ONLY_NO_DEDICATED_DB</x:v>
      </x:c>
      <x:c r="Q26" s="150" t="str">
        <x:v>dbPTM official statistics and targeted dedicated-resource search; checked 2026-08-14</x:v>
      </x:c>
      <x:c r="R26" s="185" t="str">
        <x:v>https://biomics.lab.nycu.edu.tw/dbPTM/statistics.php</x:v>
      </x:c>
      <x:c r="S26" s="150" t="str">
        <x:v>dbPTM also reports two putative sites.</x:v>
      </x:c>
      <x:c r="T26" s="150" t="str">
        <x:v>Experimental and putative counts remain separated.</x:v>
      </x:c>
    </x:row>
    <x:row r="27" ht="36" customHeight="1">
      <x:c r="A27" s="157" t="str">
        <x:v>PTMF092</x:v>
      </x:c>
      <x:c r="B27" s="158" t="str">
        <x:v>Pyroglutamate formation</x:v>
      </x:c>
      <x:c r="C27" s="158" t="str">
        <x:v>Residue and terminal remodeling</x:v>
      </x:c>
      <x:c r="D27" s="159" t="n">
        <x:v>1</x:v>
      </x:c>
      <x:c r="E27" s="159" t="n">
        <x:v>0</x:v>
      </x:c>
      <x:c r="F27" s="159" t="n">
        <x:v>0</x:v>
      </x:c>
      <x:c r="G27" s="159" t="n">
        <x:v>0</x:v>
      </x:c>
      <x:c r="H27" s="158" t="str">
        <x:v>dbPTM 2025 general integrator</x:v>
      </x:c>
      <x:c r="I27" s="158" t="str">
        <x:v>current general multi-PTM integrator; structural and terminomics resources are not family-specific functional site databases</x:v>
      </x:c>
      <x:c r="J27" s="159" t="str">
        <x:v>GENERAL_INTEGRATOR_ONLY</x:v>
      </x:c>
      <x:c r="K27" s="158" t="str">
        <x:v>Exact family-level residue evidence was found only in a general multi-PTM integrator, not a family-specific experimental site database.</x:v>
      </x:c>
      <x:c r="L27" s="158" t="str">
        <x:v>yes; general-integrator residue records</x:v>
      </x:c>
      <x:c r="M27" s="170" t="n">
        <x:v>1846</x:v>
      </x:c>
      <x:c r="N27" s="158" t="str">
        <x:v>experimental pyrrolidone-carboxylic-acid sites in the fixed dbPTM Release 2024 statistics table</x:v>
      </x:c>
      <x:c r="O27" s="159" t="str">
        <x:v>dbPTM Release 2024; accessed 2026-08-14</x:v>
      </x:c>
      <x:c r="P27" s="158" t="str">
        <x:v>GENERAL_INTEGRATOR_ONLY_NO_DEDICATED_FAMILY_DB</x:v>
      </x:c>
      <x:c r="Q27" s="158" t="str">
        <x:v>dbPTM statistics, StrucPTM structural counts and TopFIND 4.1; checked 2026-08-14</x:v>
      </x:c>
      <x:c r="R27" s="184" t="str">
        <x:v>https://biomics.lab.nycu.edu.tw/dbPTM/statistics.php | https://topfind.clip.msl.ubc.ca/home/index</x:v>
      </x:c>
      <x:c r="S27" s="158" t="str">
        <x:v>StrucPTM reports 1,434 PDB/mmCIF occurrences but has no functional annotation; TopFIND 4.1 is a live-aging termini/cleavage resource with no verified pyroglutamate subset.</x:v>
      </x:c>
      <x:c r="T27" s="158" t="str">
        <x:v>Structural occurrences were deliberately not promoted to functional PTM-site coverage.</x:v>
      </x:c>
    </x:row>
    <x:row r="28" ht="36" customHeight="1">
      <x:c r="A28" s="149" t="str">
        <x:v>PTMF093</x:v>
      </x:c>
      <x:c r="B28" s="150" t="str">
        <x:v>Hypusination</x:v>
      </x:c>
      <x:c r="C28" s="150" t="str">
        <x:v>Residue and terminal remodeling</x:v>
      </x:c>
      <x:c r="D28" s="151" t="n">
        <x:v>1</x:v>
      </x:c>
      <x:c r="E28" s="151" t="n">
        <x:v>0</x:v>
      </x:c>
      <x:c r="F28" s="151" t="n">
        <x:v>0</x:v>
      </x:c>
      <x:c r="G28" s="151" t="n">
        <x:v>0</x:v>
      </x:c>
      <x:c r="H28" s="150" t="str">
        <x:v>ProteomeScout current general integrator</x:v>
      </x:c>
      <x:c r="I28" s="150" t="str">
        <x:v>current general multi-PTM integrator</x:v>
      </x:c>
      <x:c r="J28" s="151" t="str">
        <x:v>GENERAL_INTEGRATOR_ONLY</x:v>
      </x:c>
      <x:c r="K28" s="150" t="str">
        <x:v>Exact family-level residue evidence was found only in a general multi-PTM integrator, not a family-specific experimental site database.</x:v>
      </x:c>
      <x:c r="L28" s="150" t="str">
        <x:v>yes; general-integrator residue records</x:v>
      </x:c>
      <x:c r="M28" s="168" t="n">
        <x:v>10</x:v>
      </x:c>
      <x:c r="N28" s="150" t="str">
        <x:v>Hypusine protein-position records, all species</x:v>
      </x:c>
      <x:c r="O28" s="151" t="str">
        <x:v>ProteomeScout TSV Last-Modified 2026-06-02</x:v>
      </x:c>
      <x:c r="P28" s="150" t="str">
        <x:v>GENERAL_INTEGRATOR_ONLY_NO_DEDICATED_DB</x:v>
      </x:c>
      <x:c r="Q28" s="150" t="str">
        <x:v>ProteomeScout official download and targeted dedicated-resource search; checked 2026-08-14</x:v>
      </x:c>
      <x:c r="R28" s="185" t="str">
        <x:v>https://proteomescout.research.virginia.edu/downloads</x:v>
      </x:c>
      <x:c r="S28" s="150" t="str"/>
      <x:c r="T28" s="150" t="str">
        <x:v>No family-specific maintained experimental site atlas was found.</x:v>
      </x:c>
    </x:row>
    <x:row r="29" ht="36" customHeight="1">
      <x:c r="A29" s="157" t="str">
        <x:v>PTMF094</x:v>
      </x:c>
      <x:c r="B29" s="158" t="str">
        <x:v>Diphthamide formation</x:v>
      </x:c>
      <x:c r="C29" s="158" t="str">
        <x:v>Residue and terminal remodeling</x:v>
      </x:c>
      <x:c r="D29" s="159" t="n">
        <x:v>1</x:v>
      </x:c>
      <x:c r="E29" s="159" t="n">
        <x:v>0</x:v>
      </x:c>
      <x:c r="F29" s="159" t="n">
        <x:v>0</x:v>
      </x:c>
      <x:c r="G29" s="159" t="n">
        <x:v>0</x:v>
      </x:c>
      <x:c r="H29" s="158" t="str">
        <x:v>ProteomeScout current general integrator</x:v>
      </x:c>
      <x:c r="I29" s="158" t="str">
        <x:v>current general multi-PTM integrator</x:v>
      </x:c>
      <x:c r="J29" s="159" t="str">
        <x:v>GENERAL_INTEGRATOR_ONLY</x:v>
      </x:c>
      <x:c r="K29" s="158" t="str">
        <x:v>Exact family-level residue evidence was found only in a general multi-PTM integrator, not a family-specific experimental site database.</x:v>
      </x:c>
      <x:c r="L29" s="158" t="str">
        <x:v>yes; general-integrator residue records</x:v>
      </x:c>
      <x:c r="M29" s="170" t="n">
        <x:v>6</x:v>
      </x:c>
      <x:c r="N29" s="158" t="str">
        <x:v>Diphthamide protein-position records, all species</x:v>
      </x:c>
      <x:c r="O29" s="159" t="str">
        <x:v>ProteomeScout TSV Last-Modified 2026-06-02</x:v>
      </x:c>
      <x:c r="P29" s="158" t="str">
        <x:v>GENERAL_INTEGRATOR_ONLY_NO_DEDICATED_DB</x:v>
      </x:c>
      <x:c r="Q29" s="158" t="str">
        <x:v>ProteomeScout official download and targeted dedicated-resource search; checked 2026-08-14</x:v>
      </x:c>
      <x:c r="R29" s="184" t="str">
        <x:v>https://proteomescout.research.virginia.edu/downloads</x:v>
      </x:c>
      <x:c r="S29" s="158" t="str"/>
      <x:c r="T29" s="158" t="str">
        <x:v>No family-specific maintained experimental site atlas was found.</x:v>
      </x:c>
    </x:row>
    <x:row r="30" ht="36" customHeight="1">
      <x:c r="A30" s="149" t="str">
        <x:v>PTMF095</x:v>
      </x:c>
      <x:c r="B30" s="150" t="str">
        <x:v>Glutamylation</x:v>
      </x:c>
      <x:c r="C30" s="150" t="str">
        <x:v>Residue and terminal remodeling</x:v>
      </x:c>
      <x:c r="D30" s="151" t="n">
        <x:v>1</x:v>
      </x:c>
      <x:c r="E30" s="151" t="n">
        <x:v>0</x:v>
      </x:c>
      <x:c r="F30" s="151" t="n">
        <x:v>0</x:v>
      </x:c>
      <x:c r="G30" s="151" t="n">
        <x:v>0</x:v>
      </x:c>
      <x:c r="H30" s="150" t="str">
        <x:v>ProteomeScout current general integrator</x:v>
      </x:c>
      <x:c r="I30" s="150" t="str">
        <x:v>current general multi-PTM integrator</x:v>
      </x:c>
      <x:c r="J30" s="151" t="str">
        <x:v>GENERAL_INTEGRATOR_ONLY</x:v>
      </x:c>
      <x:c r="K30" s="150" t="str">
        <x:v>Exact family-level residue evidence was found only in a general multi-PTM integrator, not a family-specific experimental site database.</x:v>
      </x:c>
      <x:c r="L30" s="150" t="str">
        <x:v>yes; general-integrator residue records</x:v>
      </x:c>
      <x:c r="M30" s="168" t="n">
        <x:v>63</x:v>
      </x:c>
      <x:c r="N30" s="150" t="str">
        <x:v>unique protein-position records across 5-glutamyl glutamate and 5-glutamyl polyglutamate labels, all species</x:v>
      </x:c>
      <x:c r="O30" s="151" t="str">
        <x:v>ProteomeScout TSV Last-Modified 2026-06-02</x:v>
      </x:c>
      <x:c r="P30" s="150" t="str">
        <x:v>GENERAL_INTEGRATOR_ONLY_NO_DEDICATED_DB</x:v>
      </x:c>
      <x:c r="Q30" s="150" t="str">
        <x:v>ProteomeScout official download and targeted dedicated-resource search; checked 2026-08-14</x:v>
      </x:c>
      <x:c r="R30" s="185" t="str">
        <x:v>https://proteomescout.research.virginia.edu/downloads</x:v>
      </x:c>
      <x:c r="S30" s="150" t="str">
        <x:v>The current file contains 2 5-glutamyl-glutamate and 61 5-glutamyl-polyglutamate records with no overlapping protein-position key.</x:v>
      </x:c>
      <x:c r="T30" s="150" t="str">
        <x:v>The count is label-normalized and deduplicated.</x:v>
      </x:c>
    </x:row>
    <x:row r="31" ht="36" customHeight="1">
      <x:c r="A31" s="157" t="str">
        <x:v>PTMF096</x:v>
      </x:c>
      <x:c r="B31" s="158" t="str">
        <x:v>Glycylation</x:v>
      </x:c>
      <x:c r="C31" s="158" t="str">
        <x:v>Residue and terminal remodeling</x:v>
      </x:c>
      <x:c r="D31" s="159" t="n">
        <x:v>1</x:v>
      </x:c>
      <x:c r="E31" s="159" t="n">
        <x:v>0</x:v>
      </x:c>
      <x:c r="F31" s="159" t="n">
        <x:v>0</x:v>
      </x:c>
      <x:c r="G31" s="159" t="n">
        <x:v>0</x:v>
      </x:c>
      <x:c r="H31" s="158" t="str">
        <x:v>ProteomeScout current general integrator</x:v>
      </x:c>
      <x:c r="I31" s="158" t="str">
        <x:v>current general multi-PTM integrator</x:v>
      </x:c>
      <x:c r="J31" s="159" t="str">
        <x:v>GENERAL_INTEGRATOR_ONLY</x:v>
      </x:c>
      <x:c r="K31" s="158" t="str">
        <x:v>Exact family-level residue evidence was found only in a general multi-PTM integrator, not a family-specific experimental site database.</x:v>
      </x:c>
      <x:c r="L31" s="158" t="str">
        <x:v>yes; general-integrator residue records</x:v>
      </x:c>
      <x:c r="M31" s="170" t="n">
        <x:v>6</x:v>
      </x:c>
      <x:c r="N31" s="158" t="str">
        <x:v>5-glutamyl polyglycine protein-position records, all species</x:v>
      </x:c>
      <x:c r="O31" s="159" t="str">
        <x:v>ProteomeScout TSV Last-Modified 2026-06-02</x:v>
      </x:c>
      <x:c r="P31" s="158" t="str">
        <x:v>GENERAL_INTEGRATOR_ONLY_NO_DEDICATED_DB</x:v>
      </x:c>
      <x:c r="Q31" s="158" t="str">
        <x:v>ProteomeScout official download and targeted dedicated-resource search; checked 2026-08-14</x:v>
      </x:c>
      <x:c r="R31" s="184" t="str">
        <x:v>https://proteomescout.research.virginia.edu/downloads</x:v>
      </x:c>
      <x:c r="S31" s="158" t="str"/>
      <x:c r="T31" s="158" t="str">
        <x:v>The label describes side-chain polyglycylation; unrelated glycyl-adenylate records were excluded.</x:v>
      </x:c>
    </x:row>
    <x:row r="32" ht="36" customHeight="1">
      <x:c r="A32" s="149" t="str">
        <x:v>PTMF097</x:v>
      </x:c>
      <x:c r="B32" s="150" t="str">
        <x:v>Stereoisomerization and racemization</x:v>
      </x:c>
      <x:c r="C32" s="150" t="str">
        <x:v>Residue and terminal remodeling</x:v>
      </x:c>
      <x:c r="D32" s="151" t="n">
        <x:v>1</x:v>
      </x:c>
      <x:c r="E32" s="151" t="n">
        <x:v>0</x:v>
      </x:c>
      <x:c r="F32" s="151" t="n">
        <x:v>0</x:v>
      </x:c>
      <x:c r="G32" s="151" t="n">
        <x:v>0</x:v>
      </x:c>
      <x:c r="H32" s="150" t="str">
        <x:v>none dedicated found</x:v>
      </x:c>
      <x:c r="I32" s="150" t="str">
        <x:v>targeted database, atlas, D-amino-acid, and isoaspartate-resource search</x:v>
      </x:c>
      <x:c r="J32" s="151" t="str">
        <x:v>NONE_FOUND</x:v>
      </x:c>
      <x:c r="K32" s="150" t="str">
        <x:v>No family-specific or narrow-class experimental residue-site database or atlas was found in the checked official and primary sources.</x:v>
      </x:c>
      <x:c r="L32" s="150" t="str">
        <x:v>no dedicated residue-site inventory</x:v>
      </x:c>
      <x:c r="M32" s="168" t="str"/>
      <x:c r="N32" s="150" t="str"/>
      <x:c r="O32" s="151" t="str"/>
      <x:c r="P32" s="150" t="str">
        <x:v>SEARCHED_NO_DEDICATED_EXPERIMENTAL_SITE_RESOURCE</x:v>
      </x:c>
      <x:c r="Q32" s="150" t="str">
        <x:v>DAACP/racemization, isoaspartate, UniProt and enzyme-database search; checked 2026-08-14</x:v>
      </x:c>
      <x:c r="R32" s="185" t="str">
        <x:v>https://ezcatdb.cbrc.pj.aist.go.jp/EzCatDB/Compound/data/C03306.html</x:v>
      </x:c>
      <x:c r="S32" s="150" t="str">
        <x:v>EzCatDB contains enzyme-reaction entries involving protein L-isoaspartate, not a protein residue-site atlas.</x:v>
      </x:c>
      <x:c r="T32" s="150" t="str">
        <x:v>No exact site denominator was inferred from enzyme entries or review tables.</x:v>
      </x:c>
    </x:row>
    <x:row r="33" ht="36" customHeight="1">
      <x:c r="A33" s="157" t="str">
        <x:v>PTMF100</x:v>
      </x:c>
      <x:c r="B33" s="158" t="str">
        <x:v>Pyruvoyl formation</x:v>
      </x:c>
      <x:c r="C33" s="158" t="str">
        <x:v>Covalent cofactor and prosthetic-group maturation</x:v>
      </x:c>
      <x:c r="D33" s="159" t="n">
        <x:v>1</x:v>
      </x:c>
      <x:c r="E33" s="159" t="n">
        <x:v>0</x:v>
      </x:c>
      <x:c r="F33" s="159" t="n">
        <x:v>0</x:v>
      </x:c>
      <x:c r="G33" s="159" t="n">
        <x:v>0</x:v>
      </x:c>
      <x:c r="H33" s="158" t="str">
        <x:v>dbPTM 2025 general integrator</x:v>
      </x:c>
      <x:c r="I33" s="158" t="str">
        <x:v>current general multi-PTM integrator</x:v>
      </x:c>
      <x:c r="J33" s="159" t="str">
        <x:v>GENERAL_INTEGRATOR_ONLY</x:v>
      </x:c>
      <x:c r="K33" s="158" t="str">
        <x:v>Exact family-level residue evidence was found only in a general multi-PTM integrator, not a family-specific experimental site database.</x:v>
      </x:c>
      <x:c r="L33" s="158" t="str">
        <x:v>yes; general-integrator residue records</x:v>
      </x:c>
      <x:c r="M33" s="170" t="n">
        <x:v>25</x:v>
      </x:c>
      <x:c r="N33" s="158" t="str">
        <x:v>experimental Pyruvate sites in the fixed dbPTM Release 2024 statistics table</x:v>
      </x:c>
      <x:c r="O33" s="159" t="str">
        <x:v>dbPTM Release 2024; accessed 2026-08-14</x:v>
      </x:c>
      <x:c r="P33" s="158" t="str">
        <x:v>GENERAL_INTEGRATOR_ONLY_NO_DEDICATED_DB</x:v>
      </x:c>
      <x:c r="Q33" s="158" t="str">
        <x:v>dbPTM official statistics and targeted dedicated-resource search; checked 2026-08-14</x:v>
      </x:c>
      <x:c r="R33" s="184" t="str">
        <x:v>https://biomics.lab.nycu.edu.tw/dbPTM/statistics.php</x:v>
      </x:c>
      <x:c r="S33" s="158" t="str">
        <x:v>ProteomeScout separately has 13 Pyruvic acid (Ser) records; counts from the two integrators were not combined.</x:v>
      </x:c>
      <x:c r="T33" s="158" t="str">
        <x:v>The dbPTM family label is the closest audited general-integrator match.</x:v>
      </x:c>
    </x:row>
    <x:row r="34" ht="36" customHeight="1">
      <x:c r="A34" s="149" t="str">
        <x:v>PTMF101</x:v>
      </x:c>
      <x:c r="B34" s="150" t="str">
        <x:v>Phosphopantetheinylation</x:v>
      </x:c>
      <x:c r="C34" s="150" t="str">
        <x:v>Covalent cofactor and prosthetic-group maturation</x:v>
      </x:c>
      <x:c r="D34" s="151" t="n">
        <x:v>1</x:v>
      </x:c>
      <x:c r="E34" s="151" t="n">
        <x:v>0</x:v>
      </x:c>
      <x:c r="F34" s="151" t="n">
        <x:v>0</x:v>
      </x:c>
      <x:c r="G34" s="151" t="n">
        <x:v>0</x:v>
      </x:c>
      <x:c r="H34" s="150" t="str">
        <x:v>ProteomeScout current general integrator</x:v>
      </x:c>
      <x:c r="I34" s="150" t="str">
        <x:v>current general multi-PTM integrator; PROSITE supplies active motif annotation, not an experimental site atlas</x:v>
      </x:c>
      <x:c r="J34" s="151" t="str">
        <x:v>GENERAL_INTEGRATOR_ONLY</x:v>
      </x:c>
      <x:c r="K34" s="150" t="str">
        <x:v>Exact family-level residue evidence was found only in a general multi-PTM integrator, not a family-specific experimental site database.</x:v>
      </x:c>
      <x:c r="L34" s="150" t="str">
        <x:v>yes; general-integrator residue records</x:v>
      </x:c>
      <x:c r="M34" s="168" t="n">
        <x:v>19</x:v>
      </x:c>
      <x:c r="N34" s="150" t="str">
        <x:v>O-(pantetheine 4'-phosphoryl)serine protein-position records, all species</x:v>
      </x:c>
      <x:c r="O34" s="151" t="str">
        <x:v>ProteomeScout TSV Last-Modified 2026-06-02</x:v>
      </x:c>
      <x:c r="P34" s="150" t="str">
        <x:v>GENERAL_INTEGRATOR_ONLY_NO_DEDICATED_EXPERIMENTAL_SITE_DB</x:v>
      </x:c>
      <x:c r="Q34" s="150" t="str">
        <x:v>ProteomeScout official download and PROSITE PS00012 official entry; checked 2026-08-14</x:v>
      </x:c>
      <x:c r="R34" s="185" t="str">
        <x:v>https://proteomescout.research.virginia.edu/downloads | https://prosite.expasy.org/PS00012</x:v>
      </x:c>
      <x:c r="S34" s="150" t="str">
        <x:v>PROSITE PS00012 is active and reports 1,264 true-positive motif hits in 993 Swiss-Prot sequences, but those are motif/annotation hits rather than an experiment-only residue-site inventory.</x:v>
      </x:c>
      <x:c r="T34" s="150" t="str">
        <x:v>The PROSITE count is not substituted for the experimental record count.</x:v>
      </x:c>
    </x:row>
    <x:row r="35" ht="36" customHeight="1">
      <x:c r="A35" s="157" t="str">
        <x:v>PTMF102</x:v>
      </x:c>
      <x:c r="B35" s="158" t="str">
        <x:v>Flavinylation</x:v>
      </x:c>
      <x:c r="C35" s="158" t="str">
        <x:v>Covalent cofactor and prosthetic-group maturation</x:v>
      </x:c>
      <x:c r="D35" s="159" t="n">
        <x:v>1</x:v>
      </x:c>
      <x:c r="E35" s="159" t="n">
        <x:v>0</x:v>
      </x:c>
      <x:c r="F35" s="159" t="n">
        <x:v>0</x:v>
      </x:c>
      <x:c r="G35" s="159" t="n">
        <x:v>0</x:v>
      </x:c>
      <x:c r="H35" s="158" t="str">
        <x:v>ProteomeScout current general integrator</x:v>
      </x:c>
      <x:c r="I35" s="158" t="str">
        <x:v>current general multi-PTM integrator; Flavinista is a flavoprotein catalog, not a covalent-site atlas</x:v>
      </x:c>
      <x:c r="J35" s="159" t="str">
        <x:v>GENERAL_INTEGRATOR_ONLY</x:v>
      </x:c>
      <x:c r="K35" s="158" t="str">
        <x:v>Exact family-level residue evidence was found only in a general multi-PTM integrator, not a family-specific experimental site database.</x:v>
      </x:c>
      <x:c r="L35" s="158" t="str">
        <x:v>yes; linkage-specific general-integrator residue records</x:v>
      </x:c>
      <x:c r="M35" s="170" t="n">
        <x:v>28</x:v>
      </x:c>
      <x:c r="N35" s="158" t="str">
        <x:v>covalent FAD linkage protein-position records: 4 Pros-8alpha-FAD-His, 11 S-8alpha-FAD-Cys, and 13 Tele-8alpha-FAD-His</x:v>
      </x:c>
      <x:c r="O35" s="159" t="str">
        <x:v>ProteomeScout TSV Last-Modified 2026-06-02</x:v>
      </x:c>
      <x:c r="P35" s="158" t="str">
        <x:v>GENERAL_INTEGRATOR_ONLY_NO_DEDICATED_COVALENT_SITE_DB</x:v>
      </x:c>
      <x:c r="Q35" s="158" t="str">
        <x:v>ProteomeScout official download, Flavinista official site, and current flavinylation review; checked 2026-08-14</x:v>
      </x:c>
      <x:c r="R35" s="184" t="str">
        <x:v>https://proteomescout.research.virginia.edu/downloads | https://www.flavinista.org/advanced | https://pubs.acs.org/doi/10.1021/acs.biochem.6c00163</x:v>
      </x:c>
      <x:c r="S35" s="158" t="str">
        <x:v>A generic FAD record was excluded because it did not specify covalent linkage.</x:v>
      </x:c>
      <x:c r="T35" s="158" t="str">
        <x:v>The three linkage-specific labels had no duplicated protein-position record.</x:v>
      </x:c>
    </x:row>
    <x:row r="36" ht="36" customHeight="1">
      <x:c r="A36" s="149" t="str">
        <x:v>PTMF103</x:v>
      </x:c>
      <x:c r="B36" s="150" t="str">
        <x:v>Covalent heme and porphyrin attachment</x:v>
      </x:c>
      <x:c r="C36" s="150" t="str">
        <x:v>Covalent cofactor and prosthetic-group maturation</x:v>
      </x:c>
      <x:c r="D36" s="151" t="n">
        <x:v>1</x:v>
      </x:c>
      <x:c r="E36" s="151" t="n">
        <x:v>0</x:v>
      </x:c>
      <x:c r="F36" s="151" t="n">
        <x:v>0</x:v>
      </x:c>
      <x:c r="G36" s="151" t="n">
        <x:v>0</x:v>
      </x:c>
      <x:c r="H36" s="150" t="str">
        <x:v>PyDISH</x:v>
      </x:c>
      <x:c r="I36" s="150" t="str">
        <x:v>active structural heme-protein relation database; not covalent-attachment-site specific</x:v>
      </x:c>
      <x:c r="J36" s="151" t="str">
        <x:v>ACTIVE_MAINTAINED</x:v>
      </x:c>
      <x:c r="K36" s="150" t="str">
        <x:v>Current official release or live source with substantive recent update or active curation.</x:v>
      </x:c>
      <x:c r="L36" s="150" t="str">
        <x:v>structural heme relations and ligand residues; no exact covalent-attachment subset</x:v>
      </x:c>
      <x:c r="M36" s="168" t="n">
        <x:v>20590</x:v>
      </x:c>
      <x:c r="N36" s="150" t="str">
        <x:v>heme-protein structure entries represented in 7,582 PDB entries; not covalent PTM sites</x:v>
      </x:c>
      <x:c r="O36" s="151" t="str">
        <x:v>live official data page accessed 2026-08-14</x:v>
      </x:c>
      <x:c r="P36" s="150" t="str">
        <x:v>ACTIVE_STRUCTURAL_HEME_DB_NOT_COVALENT_SITE_SPECIFIC</x:v>
      </x:c>
      <x:c r="Q36" s="150" t="str">
        <x:v>PyDISH official data page and current ProteomeScout download; checked 2026-08-14</x:v>
      </x:c>
      <x:c r="R36" s="185" t="str">
        <x:v>https://pydish.bio.info.hiroshima-cu.ac.jp/data/ | https://proteomescout.research.virginia.edu/downloads</x:v>
      </x:c>
      <x:c r="S36" s="150" t="str">
        <x:v>ProteomeScout has five S-(dipyrrolylmethanemethyl)cysteine records, a narrow covalent porphyrin/heme-derived subtype.</x:v>
      </x:c>
      <x:c r="T36" s="150" t="str">
        <x:v>The strict dedicated experimental residue-site flags remain zero because PyDISH does not expose an exact covalent-attachment subset.</x:v>
      </x:c>
    </x:row>
    <x:row r="37" ht="36" customHeight="1">
      <x:c r="A37" s="157" t="str">
        <x:v>PTMF104</x:v>
      </x:c>
      <x:c r="B37" s="158" t="str">
        <x:v>Pyridoxal-phosphate attachment</x:v>
      </x:c>
      <x:c r="C37" s="158" t="str">
        <x:v>Covalent cofactor and prosthetic-group maturation</x:v>
      </x:c>
      <x:c r="D37" s="159" t="n">
        <x:v>1</x:v>
      </x:c>
      <x:c r="E37" s="159" t="n">
        <x:v>0</x:v>
      </x:c>
      <x:c r="F37" s="159" t="n">
        <x:v>0</x:v>
      </x:c>
      <x:c r="G37" s="159" t="n">
        <x:v>0</x:v>
      </x:c>
      <x:c r="H37" s="158" t="str">
        <x:v>ProteomeScout current general integrator; B6db live aging enzyme catalog</x:v>
      </x:c>
      <x:c r="I37" s="158" t="str">
        <x:v>current general multi-PTM integrator plus live aging PLP-enzyme sequence/family catalog</x:v>
      </x:c>
      <x:c r="J37" s="159" t="str">
        <x:v>GENERAL_INTEGRATOR_ONLY</x:v>
      </x:c>
      <x:c r="K37" s="158" t="str">
        <x:v>Exact family-level residue evidence was found only in a general multi-PTM integrator, not a family-specific experimental site database.</x:v>
      </x:c>
      <x:c r="L37" s="158" t="str">
        <x:v>yes; general-integrator residue records</x:v>
      </x:c>
      <x:c r="M37" s="170" t="n">
        <x:v>294</x:v>
      </x:c>
      <x:c r="N37" s="158" t="str">
        <x:v>N6-(pyridoxal phosphate)lysine protein-position records, all species</x:v>
      </x:c>
      <x:c r="O37" s="159" t="str">
        <x:v>ProteomeScout TSV Last-Modified 2026-06-02</x:v>
      </x:c>
      <x:c r="P37" s="158" t="str">
        <x:v>GENERAL_INTEGRATOR_ONLY_NO_DEDICATED_EXPERIMENTAL_SITE_DB</x:v>
      </x:c>
      <x:c r="Q37" s="158" t="str">
        <x:v>ProteomeScout official download and B6db official site; checked 2026-08-14</x:v>
      </x:c>
      <x:c r="R37" s="184" t="str">
        <x:v>https://proteomescout.research.virginia.edu/downloads | https://bioinformatics.unipr.it/cgi-bin/bioinformatics/B6db/home.pl</x:v>
      </x:c>
      <x:c r="S37" s="158" t="str">
        <x:v>B6db responds and reports 348 activities, 358 families, 4,324 sequences and 2,808 references, but it is not an experimental covalent residue-site inventory.</x:v>
      </x:c>
      <x:c r="T37" s="158" t="str">
        <x:v>The B6db sequence total is not used as a site count.</x:v>
      </x:c>
    </x:row>
    <x:row r="38" ht="36" customHeight="1">
      <x:c r="A38" s="149" t="str">
        <x:v>PTMF105</x:v>
      </x:c>
      <x:c r="B38" s="150" t="str">
        <x:v>Quinone and protein-derived cofactor formation</x:v>
      </x:c>
      <x:c r="C38" s="150" t="str">
        <x:v>Covalent cofactor and prosthetic-group maturation</x:v>
      </x:c>
      <x:c r="D38" s="151" t="n">
        <x:v>1</x:v>
      </x:c>
      <x:c r="E38" s="151" t="n">
        <x:v>0</x:v>
      </x:c>
      <x:c r="F38" s="151" t="n">
        <x:v>0</x:v>
      </x:c>
      <x:c r="G38" s="151" t="n">
        <x:v>0</x:v>
      </x:c>
      <x:c r="H38" s="150" t="str">
        <x:v>ProteomeScout current general integrator; CoFactor historical</x:v>
      </x:c>
      <x:c r="I38" s="150" t="str">
        <x:v>current general multi-PTM integrator with a TPQ subset plus historical cofactor catalog</x:v>
      </x:c>
      <x:c r="J38" s="151" t="str">
        <x:v>GENERAL_INTEGRATOR_ONLY</x:v>
      </x:c>
      <x:c r="K38" s="150" t="str">
        <x:v>Exact family-level residue evidence was found only in a general multi-PTM integrator, not a family-specific experimental site database.</x:v>
      </x:c>
      <x:c r="L38" s="150" t="str">
        <x:v>yes; partial general-integrator residue records</x:v>
      </x:c>
      <x:c r="M38" s="168" t="n">
        <x:v>36</x:v>
      </x:c>
      <x:c r="N38" s="150" t="str">
        <x:v>2',4',5'-topaquinone protein-position records, all species; TPQ subtype only</x:v>
      </x:c>
      <x:c r="O38" s="151" t="str">
        <x:v>ProteomeScout TSV Last-Modified 2026-06-02</x:v>
      </x:c>
      <x:c r="P38" s="150" t="str">
        <x:v>GENERAL_INTEGRATOR_ONLY_PARTIAL_SUBTYPE_NO_DEDICATED_SITE_DB</x:v>
      </x:c>
      <x:c r="Q38" s="150" t="str">
        <x:v>ProteomeScout official download and CoFactor database paper; checked 2026-08-14</x:v>
      </x:c>
      <x:c r="R38" s="185" t="str">
        <x:v>https://proteomescout.research.virginia.edu/downloads | https://academic.oup.com/bioinformatics/article/26/19/2496/229169</x:v>
      </x:c>
      <x:c r="S38" s="150" t="str">
        <x:v>The historical CoFactor resource described 27 organic cofactor entries, not residue sites, and no current maintained endpoint was verified.</x:v>
      </x:c>
      <x:c r="T38" s="150" t="str">
        <x:v>The 36 count is TPQ-specific and must not be read as a denominator for every protein-derived quinone cofactor.</x:v>
      </x:c>
    </x:row>
    <x:row r="39" ht="36" customHeight="1">
      <x:c r="A39" s="157" t="str">
        <x:v>PTMF106</x:v>
      </x:c>
      <x:c r="B39" s="158" t="str">
        <x:v>Retinal Schiff-base formation</x:v>
      </x:c>
      <x:c r="C39" s="158" t="str">
        <x:v>Covalent cofactor and prosthetic-group maturation</x:v>
      </x:c>
      <x:c r="D39" s="159" t="n">
        <x:v>1</x:v>
      </x:c>
      <x:c r="E39" s="159" t="n">
        <x:v>0</x:v>
      </x:c>
      <x:c r="F39" s="159" t="n">
        <x:v>0</x:v>
      </x:c>
      <x:c r="G39" s="159" t="n">
        <x:v>0</x:v>
      </x:c>
      <x:c r="H39" s="158" t="str">
        <x:v>ProteomeScout current general integrator; MicRhoDE live aging sequence database</x:v>
      </x:c>
      <x:c r="I39" s="158" t="str">
        <x:v>current general multi-PTM integrator plus live aging microbial-rhodopsin sequence catalog</x:v>
      </x:c>
      <x:c r="J39" s="159" t="str">
        <x:v>GENERAL_INTEGRATOR_ONLY</x:v>
      </x:c>
      <x:c r="K39" s="158" t="str">
        <x:v>Exact family-level residue evidence was found only in a general multi-PTM integrator, not a family-specific experimental site database.</x:v>
      </x:c>
      <x:c r="L39" s="158" t="str">
        <x:v>yes; general-integrator residue records</x:v>
      </x:c>
      <x:c r="M39" s="170" t="n">
        <x:v>33</x:v>
      </x:c>
      <x:c r="N39" s="158" t="str">
        <x:v>N6-(retinylidene)lysine protein-position records, all species</x:v>
      </x:c>
      <x:c r="O39" s="159" t="str">
        <x:v>ProteomeScout TSV Last-Modified 2026-06-02</x:v>
      </x:c>
      <x:c r="P39" s="158" t="str">
        <x:v>GENERAL_INTEGRATOR_ONLY_NO_DEDICATED_EXPERIMENTAL_SITE_DB</x:v>
      </x:c>
      <x:c r="Q39" s="158" t="str">
        <x:v>ProteomeScout official download, MicRhoDE portal and primary paper; checked 2026-08-14</x:v>
      </x:c>
      <x:c r="R39" s="184" t="str">
        <x:v>https://proteomescout.research.virginia.edu/downloads | https://abims.sb-roscoff.fr/micrhode/ | https://pmc.ncbi.nlm.nih.gov/articles/PMC4539915/</x:v>
      </x:c>
      <x:c r="S39" s="158" t="str">
        <x:v>MicRhoDE's 2015 publication reported 7,857 type-1 rhodopsin sequences, largely sequence/environmental records rather than experimentally verified retinal-linkage sites.</x:v>
      </x:c>
      <x:c r="T39" s="158" t="str">
        <x:v>The MicRhoDE sequence count is not used as a site denominator.</x:v>
      </x:c>
    </x:row>
    <x:row r="40" ht="36" customHeight="1">
      <x:c r="A40" s="149" t="str">
        <x:v>PTMF107</x:v>
      </x:c>
      <x:c r="B40" s="150" t="str">
        <x:v>Protein chromophore formation</x:v>
      </x:c>
      <x:c r="C40" s="150" t="str">
        <x:v>Covalent cofactor and prosthetic-group maturation</x:v>
      </x:c>
      <x:c r="D40" s="151" t="n">
        <x:v>1</x:v>
      </x:c>
      <x:c r="E40" s="151" t="n">
        <x:v>0</x:v>
      </x:c>
      <x:c r="F40" s="151" t="n">
        <x:v>0</x:v>
      </x:c>
      <x:c r="G40" s="151" t="n">
        <x:v>0</x:v>
      </x:c>
      <x:c r="H40" s="150" t="str">
        <x:v>FPbase</x:v>
      </x:c>
      <x:c r="I40" s="150" t="str">
        <x:v>active fluorescent-protein property and sequence catalog; not a chromophore residue-site atlas</x:v>
      </x:c>
      <x:c r="J40" s="151" t="str">
        <x:v>ACTIVE_MAINTAINED</x:v>
      </x:c>
      <x:c r="K40" s="150" t="str">
        <x:v>Current official release or live source with substantive recent update or active curation.</x:v>
      </x:c>
      <x:c r="L40" s="150" t="str">
        <x:v>protein-level fluorescence/chromophore properties; no residue-site inventory</x:v>
      </x:c>
      <x:c r="M40" s="168" t="n">
        <x:v>1042</x:v>
      </x:c>
      <x:c r="N40" s="150" t="str">
        <x:v>fluorescent protein records; not chromophore-formation sites</x:v>
      </x:c>
      <x:c r="O40" s="151" t="str">
        <x:v>live official site accessed 2026-08-14</x:v>
      </x:c>
      <x:c r="P40" s="150" t="str">
        <x:v>ACTIVE_NARROW_PROTEIN_PROPERTY_DB_NOT_EXPERIMENTAL_RESIDUE_SITE_ATLAS</x:v>
      </x:c>
      <x:c r="Q40" s="150" t="str">
        <x:v>FPbase official site/about page and targeted chromophore-site database search; checked 2026-08-14</x:v>
      </x:c>
      <x:c r="R40" s="185" t="str">
        <x:v>https://www.fpbase.org/ | https://www.fpbase.org/about/</x:v>
      </x:c>
      <x:c r="S40" s="150" t="str">
        <x:v>The live site also displayed 3,113 spectra.</x:v>
      </x:c>
      <x:c r="T40" s="150" t="str">
        <x:v>The strict dedicated experimental residue-site flags remain zero because proteins/spectra are not modification-site records.</x:v>
      </x:c>
    </x:row>
    <x:row r="41" ht="36" customHeight="1">
      <x:c r="A41" s="157" t="str">
        <x:v>PTMF108</x:v>
      </x:c>
      <x:c r="B41" s="158" t="str">
        <x:v>Disulfide formation</x:v>
      </x:c>
      <x:c r="C41" s="158" t="str">
        <x:v>Endogenous crosslinking</x:v>
      </x:c>
      <x:c r="D41" s="159" t="n">
        <x:v>1</x:v>
      </x:c>
      <x:c r="E41" s="159" t="n">
        <x:v>1</x:v>
      </x:c>
      <x:c r="F41" s="159" t="n">
        <x:v>1</x:v>
      </x:c>
      <x:c r="G41" s="159" t="n">
        <x:v>1</x:v>
      </x:c>
      <x:c r="H41" s="158" t="str">
        <x:v>dbSNO 3.0</x:v>
      </x:c>
      <x:c r="I41" s="158" t="str">
        <x:v>current narrow multi-family experimental cysteine-modification site database</x:v>
      </x:c>
      <x:c r="J41" s="159" t="str">
        <x:v>ACTIVE_MAINTAINED</x:v>
      </x:c>
      <x:c r="K41" s="158" t="str">
        <x:v>Current official release or live source with substantive recent update or active curation.</x:v>
      </x:c>
      <x:c r="L41" s="158" t="str">
        <x:v>yes; experimentally supported disulfide cysteine instances</x:v>
      </x:c>
      <x:c r="M41" s="170" t="n">
        <x:v>9916</x:v>
      </x:c>
      <x:c r="N41" s="158" t="str">
        <x:v>disulfide cysteine site instances</x:v>
      </x:c>
      <x:c r="O41" s="159" t="str">
        <x:v>dbSNO 3.0 statistics current 2025-06; accessed 2026-08-14</x:v>
      </x:c>
      <x:c r="P41" s="158" t="str">
        <x:v>ACTIVE_NARROW_MULTI_FAMILY_SITE_DB</x:v>
      </x:c>
      <x:c r="Q41" s="158" t="str">
        <x:v>dbSNO official statistics plus DSDBASE and CysDBase comparison; checked 2026-08-14</x:v>
      </x:c>
      <x:c r="R41" s="184" t="str">
        <x:v>https://biomics.lab.nycu.edu.tw/dbSNO/statistics.php</x:v>
      </x:c>
      <x:c r="S41" s="158" t="str">
        <x:v>DSDBASE 2.0 is an unavailable historical structural catalog with 216,096 native PDB disulfide segments; CysDBase 2026 reports 1,717,922 disulfide cysteine entries with mixed annotation evidence.</x:v>
      </x:c>
      <x:c r="T41" s="158" t="str">
        <x:v>Structural segments and inferred/mixed entries were not added to the experimental dbSNO count.</x:v>
      </x:c>
    </x:row>
    <x:row r="42" ht="36" customHeight="1">
      <x:c r="A42" s="149" t="str">
        <x:v>PTMF109</x:v>
      </x:c>
      <x:c r="B42" s="150" t="str">
        <x:v>Non-tag isopeptide crosslinking</x:v>
      </x:c>
      <x:c r="C42" s="150" t="str">
        <x:v>Endogenous crosslinking</x:v>
      </x:c>
      <x:c r="D42" s="151" t="n">
        <x:v>1</x:v>
      </x:c>
      <x:c r="E42" s="151" t="n">
        <x:v>1</x:v>
      </x:c>
      <x:c r="F42" s="151" t="n">
        <x:v>1</x:v>
      </x:c>
      <x:c r="G42" s="151" t="n">
        <x:v>0</x:v>
      </x:c>
      <x:c r="H42" s="150" t="str">
        <x:v>Isopeptor open atlas and dataset</x:v>
      </x:c>
      <x:c r="I42" s="150" t="str">
        <x:v>recent primary atlas of experimentally resolved natural intramolecular isopeptide bonds</x:v>
      </x:c>
      <x:c r="J42" s="151" t="str">
        <x:v>ACTIVE_CURRENT_ATLAS</x:v>
      </x:c>
      <x:c r="K42" s="150" t="str">
        <x:v>Recent open primary experimental atlas/dataset; no recurring database-maintenance claim.</x:v>
      </x:c>
      <x:c r="L42" s="150" t="str">
        <x:v>yes; PDB-resolved isopeptide-bond structure-chain records</x:v>
      </x:c>
      <x:c r="M42" s="168" t="n">
        <x:v>193</x:v>
      </x:c>
      <x:c r="N42" s="150" t="str">
        <x:v>non-mutant natural CnaA/CnaB isopeptide-bond structure-chain rows spanning 99 PDB entries</x:v>
      </x:c>
      <x:c r="O42" s="151" t="str">
        <x:v>dataset snapshot 2024-12-09</x:v>
      </x:c>
      <x:c r="P42" s="150" t="str">
        <x:v>ACTIVE_CURRENT_EXPERIMENTAL_ATLAS_NO_RECURRING_DATABASE_MAINTENANCE_CLAIM</x:v>
      </x:c>
      <x:c r="Q42" s="150" t="str">
        <x:v>Isopeptor primary paper and open source dataset; dataset independently row-audited 2026-08-14</x:v>
      </x:c>
      <x:c r="R42" s="185" t="str">
        <x:v>https://pmc.ncbi.nlm.nih.gov/articles/PMC11919812/ | https://github.com/FranceCosta/Isopeptor_development/blob/main/data/tables/20241209_isopeptideBonds.csv</x:v>
      </x:c>
      <x:c r="S42" s="150" t="str">
        <x:v>The source table has 198 bonded rows across 101 PDB codes when five mutant records are included. Historical TRANSIT covered a transglutaminase subtype but is unavailable.</x:v>
      </x:c>
      <x:c r="T42" s="150" t="str">
        <x:v>The 193 value excludes mutant constructs and is a row count, not a globally deduplicated residue-pair count.</x:v>
      </x:c>
    </x:row>
    <x:row r="43" ht="36" customHeight="1">
      <x:c r="A43" s="157" t="str">
        <x:v>PTMF110</x:v>
      </x:c>
      <x:c r="B43" s="158" t="str">
        <x:v>Dehydroamino-acid and thioether crosslinking</x:v>
      </x:c>
      <x:c r="C43" s="158" t="str">
        <x:v>Endogenous crosslinking</x:v>
      </x:c>
      <x:c r="D43" s="159" t="n">
        <x:v>1</x:v>
      </x:c>
      <x:c r="E43" s="159" t="n">
        <x:v>0</x:v>
      </x:c>
      <x:c r="F43" s="159" t="n">
        <x:v>0</x:v>
      </x:c>
      <x:c r="G43" s="159" t="n">
        <x:v>0</x:v>
      </x:c>
      <x:c r="H43" s="158" t="str">
        <x:v>LantiBase</x:v>
      </x:c>
      <x:c r="I43" s="158" t="str">
        <x:v>live static lantibiotic sequence/structure catalog; not an experimental residue-crosslink site atlas</x:v>
      </x:c>
      <x:c r="J43" s="159" t="str">
        <x:v>LIVE_STATIC</x:v>
      </x:c>
      <x:c r="K43" s="158" t="str">
        <x:v>Portal responds, but it is explicitly or operationally static legacy content without a current maintenance claim.</x:v>
      </x:c>
      <x:c r="L43" s="158" t="str">
        <x:v>sequence and structure annotations; no strict experimental bridge-site inventory</x:v>
      </x:c>
      <x:c r="M43" s="170" t="n">
        <x:v>37</x:v>
      </x:c>
      <x:c r="N43" s="158" t="str">
        <x:v>lantibiotic sequence/structure entries; not crosslink sites</x:v>
      </x:c>
      <x:c r="O43" s="159" t="str">
        <x:v>legacy database based on UniProt 2015; portal accessed 2026-08-14</x:v>
      </x:c>
      <x:c r="P43" s="158" t="str">
        <x:v>LIVE_STATIC_NARROW_SEQUENCE_RESOURCE_NOT_EXPERIMENTAL_SITE_ATLAS</x:v>
      </x:c>
      <x:c r="Q43" s="158" t="str">
        <x:v>LantiBase official portal and current CysDBase paper; checked 2026-08-14</x:v>
      </x:c>
      <x:c r="R43" s="184" t="str">
        <x:v>https://lantibase.weebly.com/ | https://pmc.ncbi.nlm.nih.gov/articles/PMC13161762/</x:v>
      </x:c>
      <x:c r="S43" s="158" t="str">
        <x:v>CysDBase 2026 contains 12,626 thioether-annotated cysteine entries, but its mixed inferred/predicted evidence and broad chemistry do not provide a strict experimental family denominator.</x:v>
      </x:c>
      <x:c r="T43" s="158" t="str">
        <x:v>The LantiBase entry count is retained only with its non-site unit.</x:v>
      </x:c>
    </x:row>
    <x:row r="44" ht="36" customHeight="1">
      <x:c r="A44" s="149" t="str">
        <x:v>PTMF111</x:v>
      </x:c>
      <x:c r="B44" s="150" t="str">
        <x:v>Dityrosine and isodityrosine crosslinking</x:v>
      </x:c>
      <x:c r="C44" s="150" t="str">
        <x:v>Endogenous crosslinking</x:v>
      </x:c>
      <x:c r="D44" s="151" t="n">
        <x:v>1</x:v>
      </x:c>
      <x:c r="E44" s="151" t="n">
        <x:v>0</x:v>
      </x:c>
      <x:c r="F44" s="151" t="n">
        <x:v>0</x:v>
      </x:c>
      <x:c r="G44" s="151" t="n">
        <x:v>0</x:v>
      </x:c>
      <x:c r="H44" s="150" t="str">
        <x:v>none dedicated found</x:v>
      </x:c>
      <x:c r="I44" s="150" t="str">
        <x:v>targeted database, crosslink-atlas, and primary-literature search</x:v>
      </x:c>
      <x:c r="J44" s="151" t="str">
        <x:v>NONE_FOUND</x:v>
      </x:c>
      <x:c r="K44" s="150" t="str">
        <x:v>No family-specific or narrow-class experimental residue-site database or atlas was found in the checked official and primary sources.</x:v>
      </x:c>
      <x:c r="L44" s="150" t="str">
        <x:v>experimental study datasets exist; no maintained database inventory</x:v>
      </x:c>
      <x:c r="M44" s="168" t="str"/>
      <x:c r="N44" s="150" t="str"/>
      <x:c r="O44" s="151" t="str"/>
      <x:c r="P44" s="150" t="str">
        <x:v>SEARCHED_NO_DEDICATED_EXPERIMENTAL_SITE_RESOURCE</x:v>
      </x:c>
      <x:c r="Q44" s="150" t="str">
        <x:v>dityrosine/isodityrosine crosslink literature and targeted resource search; checked 2026-08-14</x:v>
      </x:c>
      <x:c r="R44" s="185" t="str">
        <x:v>https://pmc.ncbi.nlm.nih.gov/articles/PMC10135038/</x:v>
      </x:c>
      <x:c r="S44" s="150" t="str">
        <x:v>A 2023 E. coli study reported 71 dityrosine crosslinks and 410 dityrosine loop links on 352 proteins; these are study-specific results, not a database denominator.</x:v>
      </x:c>
      <x:c r="T44" s="150" t="str">
        <x:v>Study counts were not entered as a database count.</x:v>
      </x:c>
    </x:row>
    <x:row r="45" ht="36" customHeight="1">
      <x:c r="A45" s="157" t="str">
        <x:v>PTMF112</x:v>
      </x:c>
      <x:c r="B45" s="158" t="str">
        <x:v>Proteolytic cleavage and processing</x:v>
      </x:c>
      <x:c r="C45" s="158" t="str">
        <x:v>Backbone processing and rearrangement</x:v>
      </x:c>
      <x:c r="D45" s="159" t="n">
        <x:v>1</x:v>
      </x:c>
      <x:c r="E45" s="159" t="n">
        <x:v>1</x:v>
      </x:c>
      <x:c r="F45" s="159" t="n">
        <x:v>1</x:v>
      </x:c>
      <x:c r="G45" s="159" t="n">
        <x:v>1</x:v>
      </x:c>
      <x:c r="H45" s="158" t="str">
        <x:v>CaspSites current experimental subtype plus MEROPS 12.5 broad cleavage relations</x:v>
      </x:c>
      <x:c r="I45" s="158" t="str">
        <x:v>active dedicated caspase-cleavage site database plus live aging broad protease-cleavage database</x:v>
      </x:c>
      <x:c r="J45" s="159" t="str">
        <x:v>ACTIVE_MAINTAINED</x:v>
      </x:c>
      <x:c r="K45" s="158" t="str">
        <x:v>Current official release or live source with substantive recent update or active curation.</x:v>
      </x:c>
      <x:c r="L45" s="158" t="str">
        <x:v>yes; exact experimental subtype sites plus broad curated cleavage relations</x:v>
      </x:c>
      <x:c r="M45" s="170" t="n">
        <x:v>3031</x:v>
      </x:c>
      <x:c r="N45" s="158" t="str">
        <x:v>unique P1-Asp caspase cleavage sites in CaspSites</x:v>
      </x:c>
      <x:c r="O45" s="159" t="str">
        <x:v>live dataset audited 2026-08-14</x:v>
      </x:c>
      <x:c r="P45" s="158" t="str">
        <x:v>ACTIVE_DEDICATED_SUBTYPE_AND_LIVE_AGING_BROAD_DB</x:v>
      </x:c>
      <x:c r="Q45" s="158" t="str">
        <x:v>CaspSites live data, MEROPS official tables, CutDB/DegraBase/CASBAH and DICED primary sources; checked 2026-08-14</x:v>
      </x:c>
      <x:c r="R45" s="184" t="str">
        <x:v>https://www.caspsites.org/about/ | https://www.ebi.ac.uk/merops/cgi-bin/substrate_count?action=G | https://pmc.ncbi.nlm.nih.gov/articles/PMC12246766/</x:v>
      </x:c>
      <x:c r="S45" s="158" t="str">
        <x:v>CaspSites also reports 2,022 proteins. MEROPS 12.5 separately reports 11,347 physiological and 115,062 nonphysiological cleavage relations; DICED is a current disease-focused N-terminomics resource without a verified live total in this audit.</x:v>
      </x:c>
      <x:c r="T45" s="158" t="str">
        <x:v>The headline exact count is the active experimental caspase subtype, not the full processing family.</x:v>
      </x:c>
    </x:row>
    <x:row r="46" ht="36" customHeight="1">
      <x:c r="A46" s="153" t="str">
        <x:v>PTMF113</x:v>
      </x:c>
      <x:c r="B46" s="154" t="str">
        <x:v>Protein splicing</x:v>
      </x:c>
      <x:c r="C46" s="154" t="str">
        <x:v>Backbone processing and rearrangement</x:v>
      </x:c>
      <x:c r="D46" s="155" t="n">
        <x:v>1</x:v>
      </x:c>
      <x:c r="E46" s="155" t="n">
        <x:v>1</x:v>
      </x:c>
      <x:c r="F46" s="155" t="n">
        <x:v>1</x:v>
      </x:c>
      <x:c r="G46" s="155" t="n">
        <x:v>0</x:v>
      </x:c>
      <x:c r="H46" s="154" t="str">
        <x:v>InBase 2.0 beta</x:v>
      </x:c>
      <x:c r="I46" s="154" t="str">
        <x:v>live static dedicated intein sequence/insertion registry</x:v>
      </x:c>
      <x:c r="J46" s="155" t="str">
        <x:v>LIVE_STATIC</x:v>
      </x:c>
      <x:c r="K46" s="154" t="str">
        <x:v>Portal responds, but it is explicitly or operationally static legacy content without a current maintenance claim.</x:v>
      </x:c>
      <x:c r="L46" s="154" t="str">
        <x:v>mixed submitted, approved, and experimentally characterized sequence records; no strict splicing-event site denominator</x:v>
      </x:c>
      <x:c r="M46" s="169" t="n">
        <x:v>1119</x:v>
      </x:c>
      <x:c r="N46" s="154" t="str">
        <x:v>intein sequence records; not experimentally observed splicing-event sites</x:v>
      </x:c>
      <x:c r="O46" s="155" t="str">
        <x:v>live page generated 2026-08-14; host says beta is not maintained</x:v>
      </x:c>
      <x:c r="P46" s="154" t="str">
        <x:v>LIVE_STATIC_DEDICATED_SEQUENCE_DB_NO_STRICT_SITE_COUNT</x:v>
      </x:c>
      <x:c r="Q46" s="154" t="str">
        <x:v>InBase 2.0 live page, preserved old InBase, and primary registry papers; checked 2026-08-14</x:v>
      </x:c>
      <x:c r="R46" s="186" t="str">
        <x:v>https://inbase.ligsciss.com/index.php?r=site%2Findex</x:v>
      </x:c>
      <x:c r="S46" s="154" t="str">
        <x:v>The preserved old InBase has 585 inteins.</x:v>
      </x:c>
      <x:c r="T46" s="154" t="str">
        <x:v>The live 1,119-record count is retained with its sequence-record unit and maintenance caveat.</x:v>
      </x:c>
    </x:row>
  </x:sheetData>
  <x:conditionalFormatting sqref="J2:J46">
    <x:cfRule type="containsText" dxfId="107" priority="1" operator="containsText" text="ACTIVE"/>
    <x:cfRule type="containsText" dxfId="108" priority="2" operator="containsText" text="LIVE"/>
    <x:cfRule type="containsText" dxfId="109" priority="3" operator="containsText" text="UNAVAILABLE"/>
    <x:cfRule type="containsText" dxfId="110" priority="4" operator="containsText" text="RETIRED"/>
    <x:cfRule type="containsText" dxfId="111" priority="5" operator="containsText" text="SUPERSEDED"/>
    <x:cfRule type="containsText" dxfId="112" priority="6" operator="containsText" text="BROKEN"/>
    <x:cfRule type="containsText" dxfId="113" priority="7" operator="containsText" text="NONE"/>
    <x:cfRule type="containsText" dxfId="114" priority="8" operator="containsText" text="NO_DEDICATED"/>
    <x:cfRule type="containsText" dxfId="115" priority="9" operator="containsText" text="GENERAL"/>
    <x:cfRule type="containsText" dxfId="116" priority="10" operator="containsText" text="PRIMARY"/>
    <x:cfRule type="containsText" dxfId="117" priority="11" operator="containsText" text="STRUCTURAL"/>
    <x:cfRule type="containsText" dxfId="118" priority="12" operator="containsText" text="MOTIF_RESOURCE"/>
    <x:cfRule type="containsText" dxfId="119" priority="13" operator="containsText" text="PATHWAY"/>
    <x:cfRule type="containsText" dxfId="120" priority="14" operator="containsText" text="ENZYME_RESOURCE"/>
    <x:cfRule type="containsText" dxfId="121" priority="15" operator="containsText" text="SITE_DATASET"/>
    <x:cfRule type="containsText" dxfId="122" priority="16" operator="containsText" text="SITE_ATLAS"/>
    <x:cfRule type="containsText" dxfId="123" priority="17" operator="containsText" text="STALE"/>
    <x:cfRule type="containsText" dxfId="124" priority="18" operator="containsText" text="STATIC"/>
  </x:conditionalFormatting>
  <x:hyperlinks>
    <x:hyperlink ref="R2" r:id="rIdHyperlink1"/>
    <x:hyperlink ref="R3" r:id="rIdHyperlink2"/>
    <x:hyperlink ref="R4" r:id="rIdHyperlink3"/>
    <x:hyperlink ref="R5" r:id="rIdHyperlink4"/>
    <x:hyperlink ref="R6" r:id="rIdHyperlink5"/>
    <x:hyperlink ref="R7" r:id="rIdHyperlink6"/>
    <x:hyperlink ref="R8" r:id="rIdHyperlink7"/>
    <x:hyperlink ref="R9" r:id="rIdHyperlink8"/>
    <x:hyperlink ref="R10" r:id="rIdHyperlink9"/>
    <x:hyperlink ref="R11" r:id="rIdHyperlink10"/>
    <x:hyperlink ref="R12" r:id="rIdHyperlink11"/>
    <x:hyperlink ref="R13" r:id="rIdHyperlink12"/>
    <x:hyperlink ref="R14" r:id="rIdHyperlink13"/>
    <x:hyperlink ref="R15" r:id="rIdHyperlink14"/>
    <x:hyperlink ref="R16" r:id="rIdHyperlink15"/>
    <x:hyperlink ref="R17" r:id="rIdHyperlink16"/>
    <x:hyperlink ref="R18" r:id="rIdHyperlink17"/>
    <x:hyperlink ref="R19" r:id="rIdHyperlink18"/>
    <x:hyperlink ref="R20" r:id="rIdHyperlink19"/>
    <x:hyperlink ref="R21" r:id="rIdHyperlink20"/>
    <x:hyperlink ref="R22" r:id="rIdHyperlink21"/>
    <x:hyperlink ref="R23" r:id="rIdHyperlink22"/>
    <x:hyperlink ref="R24" r:id="rIdHyperlink23"/>
    <x:hyperlink ref="R25" r:id="rIdHyperlink24"/>
    <x:hyperlink ref="R26" r:id="rIdHyperlink25"/>
    <x:hyperlink ref="R27" r:id="rIdHyperlink26"/>
    <x:hyperlink ref="R28" r:id="rIdHyperlink27"/>
    <x:hyperlink ref="R29" r:id="rIdHyperlink28"/>
    <x:hyperlink ref="R30" r:id="rIdHyperlink29"/>
    <x:hyperlink ref="R31" r:id="rIdHyperlink30"/>
    <x:hyperlink ref="R32" r:id="rIdHyperlink31"/>
    <x:hyperlink ref="R33" r:id="rIdHyperlink32"/>
    <x:hyperlink ref="R34" r:id="rIdHyperlink33"/>
    <x:hyperlink ref="R35" r:id="rIdHyperlink34"/>
    <x:hyperlink ref="R36" r:id="rIdHyperlink35"/>
    <x:hyperlink ref="R37" r:id="rIdHyperlink36"/>
    <x:hyperlink ref="R38" r:id="rIdHyperlink37"/>
    <x:hyperlink ref="R39" r:id="rIdHyperlink38"/>
    <x:hyperlink ref="R40" r:id="rIdHyperlink39"/>
    <x:hyperlink ref="R41" r:id="rIdHyperlink40"/>
    <x:hyperlink ref="R42" r:id="rIdHyperlink41"/>
    <x:hyperlink ref="R43" r:id="rIdHyperlink42"/>
    <x:hyperlink ref="R44" r:id="rIdHyperlink43"/>
    <x:hyperlink ref="R45" r:id="rIdHyperlink44"/>
    <x:hyperlink ref="R46" r:id="rIdHyperlink45"/>
  </x:hyperlinks>
  <x:pageMargins left="0.7" right="0.7" top="0.75" bottom="0.75" header="0.3" footer="0.3"/>
  <x:tableParts count="1">
    <x:tablePart xmlns:r="http://schemas.openxmlformats.org/officeDocument/2006/relationships" r:id="Rb555243861de4093"/>
  </x:tableParts>
</x:worksheet>
</file>